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Personal_Important\Facultate\Cursuri\ProiectAC\"/>
    </mc:Choice>
  </mc:AlternateContent>
  <xr:revisionPtr revIDLastSave="0" documentId="13_ncr:1_{745FB7B9-192A-41B8-80C8-06DF2ED2CAFE}" xr6:coauthVersionLast="47" xr6:coauthVersionMax="47" xr10:uidLastSave="{00000000-0000-0000-0000-000000000000}"/>
  <bookViews>
    <workbookView xWindow="-108" yWindow="-108" windowWidth="23256" windowHeight="12456" activeTab="1" xr2:uid="{49516754-8FBA-4519-B484-8BD7D17C2B2A}"/>
  </bookViews>
  <sheets>
    <sheet name="MicroInstructiune" sheetId="1" r:id="rId1"/>
    <sheet name="Microprogram" sheetId="2" r:id="rId2"/>
  </sheets>
  <definedNames>
    <definedName name="_xlnm._FilterDatabase" localSheetId="1" hidden="1">Microprogram!$A$1:$Y$118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2" l="1"/>
  <c r="Y3" i="2" s="1"/>
  <c r="D3" i="2" s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3" i="2"/>
  <c r="O5" i="2"/>
  <c r="P5" i="2"/>
  <c r="Q5" i="2"/>
  <c r="R5" i="2"/>
  <c r="S5" i="2"/>
  <c r="T5" i="2"/>
  <c r="U5" i="2"/>
  <c r="V5" i="2"/>
  <c r="W5" i="2"/>
  <c r="X5" i="2"/>
  <c r="O6" i="2"/>
  <c r="P6" i="2"/>
  <c r="Q6" i="2"/>
  <c r="R6" i="2"/>
  <c r="S6" i="2"/>
  <c r="T6" i="2"/>
  <c r="U6" i="2"/>
  <c r="V6" i="2"/>
  <c r="W6" i="2"/>
  <c r="X6" i="2"/>
  <c r="O7" i="2"/>
  <c r="P7" i="2"/>
  <c r="Q7" i="2"/>
  <c r="R7" i="2"/>
  <c r="S7" i="2"/>
  <c r="T7" i="2"/>
  <c r="U7" i="2"/>
  <c r="V7" i="2"/>
  <c r="W7" i="2"/>
  <c r="X7" i="2"/>
  <c r="O8" i="2"/>
  <c r="P8" i="2"/>
  <c r="Q8" i="2"/>
  <c r="R8" i="2"/>
  <c r="S8" i="2"/>
  <c r="T8" i="2"/>
  <c r="U8" i="2"/>
  <c r="V8" i="2"/>
  <c r="W8" i="2"/>
  <c r="X8" i="2"/>
  <c r="O9" i="2"/>
  <c r="P9" i="2"/>
  <c r="Q9" i="2"/>
  <c r="R9" i="2"/>
  <c r="S9" i="2"/>
  <c r="T9" i="2"/>
  <c r="U9" i="2"/>
  <c r="V9" i="2"/>
  <c r="W9" i="2"/>
  <c r="X9" i="2"/>
  <c r="O10" i="2"/>
  <c r="P10" i="2"/>
  <c r="Q10" i="2"/>
  <c r="R10" i="2"/>
  <c r="S10" i="2"/>
  <c r="T10" i="2"/>
  <c r="U10" i="2"/>
  <c r="V10" i="2"/>
  <c r="W10" i="2"/>
  <c r="X10" i="2"/>
  <c r="O11" i="2"/>
  <c r="P11" i="2"/>
  <c r="Q11" i="2"/>
  <c r="R11" i="2"/>
  <c r="S11" i="2"/>
  <c r="T11" i="2"/>
  <c r="U11" i="2"/>
  <c r="V11" i="2"/>
  <c r="W11" i="2"/>
  <c r="X11" i="2"/>
  <c r="O12" i="2"/>
  <c r="P12" i="2"/>
  <c r="Q12" i="2"/>
  <c r="R12" i="2"/>
  <c r="S12" i="2"/>
  <c r="T12" i="2"/>
  <c r="U12" i="2"/>
  <c r="V12" i="2"/>
  <c r="W12" i="2"/>
  <c r="X12" i="2"/>
  <c r="O13" i="2"/>
  <c r="P13" i="2"/>
  <c r="Q13" i="2"/>
  <c r="R13" i="2"/>
  <c r="S13" i="2"/>
  <c r="T13" i="2"/>
  <c r="U13" i="2"/>
  <c r="V13" i="2"/>
  <c r="W13" i="2"/>
  <c r="X13" i="2"/>
  <c r="O14" i="2"/>
  <c r="P14" i="2"/>
  <c r="Q14" i="2"/>
  <c r="R14" i="2"/>
  <c r="S14" i="2"/>
  <c r="T14" i="2"/>
  <c r="U14" i="2"/>
  <c r="V14" i="2"/>
  <c r="W14" i="2"/>
  <c r="X14" i="2"/>
  <c r="O15" i="2"/>
  <c r="P15" i="2"/>
  <c r="Q15" i="2"/>
  <c r="R15" i="2"/>
  <c r="S15" i="2"/>
  <c r="T15" i="2"/>
  <c r="U15" i="2"/>
  <c r="V15" i="2"/>
  <c r="W15" i="2"/>
  <c r="X15" i="2"/>
  <c r="O16" i="2"/>
  <c r="P16" i="2"/>
  <c r="Q16" i="2"/>
  <c r="R16" i="2"/>
  <c r="S16" i="2"/>
  <c r="T16" i="2"/>
  <c r="U16" i="2"/>
  <c r="V16" i="2"/>
  <c r="W16" i="2"/>
  <c r="X16" i="2"/>
  <c r="O17" i="2"/>
  <c r="P17" i="2"/>
  <c r="Q17" i="2"/>
  <c r="R17" i="2"/>
  <c r="S17" i="2"/>
  <c r="T17" i="2"/>
  <c r="U17" i="2"/>
  <c r="V17" i="2"/>
  <c r="W17" i="2"/>
  <c r="X17" i="2"/>
  <c r="O18" i="2"/>
  <c r="P18" i="2"/>
  <c r="Q18" i="2"/>
  <c r="R18" i="2"/>
  <c r="S18" i="2"/>
  <c r="T18" i="2"/>
  <c r="U18" i="2"/>
  <c r="V18" i="2"/>
  <c r="W18" i="2"/>
  <c r="X18" i="2"/>
  <c r="O19" i="2"/>
  <c r="P19" i="2"/>
  <c r="Q19" i="2"/>
  <c r="R19" i="2"/>
  <c r="S19" i="2"/>
  <c r="T19" i="2"/>
  <c r="U19" i="2"/>
  <c r="V19" i="2"/>
  <c r="W19" i="2"/>
  <c r="X19" i="2"/>
  <c r="O20" i="2"/>
  <c r="P20" i="2"/>
  <c r="Q20" i="2"/>
  <c r="R20" i="2"/>
  <c r="S20" i="2"/>
  <c r="T20" i="2"/>
  <c r="U20" i="2"/>
  <c r="V20" i="2"/>
  <c r="W20" i="2"/>
  <c r="X20" i="2"/>
  <c r="O21" i="2"/>
  <c r="P21" i="2"/>
  <c r="Q21" i="2"/>
  <c r="R21" i="2"/>
  <c r="S21" i="2"/>
  <c r="T21" i="2"/>
  <c r="U21" i="2"/>
  <c r="V21" i="2"/>
  <c r="W21" i="2"/>
  <c r="X21" i="2"/>
  <c r="O22" i="2"/>
  <c r="P22" i="2"/>
  <c r="Q22" i="2"/>
  <c r="R22" i="2"/>
  <c r="S22" i="2"/>
  <c r="T22" i="2"/>
  <c r="U22" i="2"/>
  <c r="V22" i="2"/>
  <c r="W22" i="2"/>
  <c r="X22" i="2"/>
  <c r="O23" i="2"/>
  <c r="P23" i="2"/>
  <c r="Q23" i="2"/>
  <c r="R23" i="2"/>
  <c r="S23" i="2"/>
  <c r="T23" i="2"/>
  <c r="U23" i="2"/>
  <c r="V23" i="2"/>
  <c r="W23" i="2"/>
  <c r="X23" i="2"/>
  <c r="O24" i="2"/>
  <c r="P24" i="2"/>
  <c r="Q24" i="2"/>
  <c r="R24" i="2"/>
  <c r="S24" i="2"/>
  <c r="T24" i="2"/>
  <c r="U24" i="2"/>
  <c r="V24" i="2"/>
  <c r="W24" i="2"/>
  <c r="X24" i="2"/>
  <c r="O25" i="2"/>
  <c r="P25" i="2"/>
  <c r="Q25" i="2"/>
  <c r="R25" i="2"/>
  <c r="S25" i="2"/>
  <c r="T25" i="2"/>
  <c r="U25" i="2"/>
  <c r="V25" i="2"/>
  <c r="W25" i="2"/>
  <c r="X25" i="2"/>
  <c r="O26" i="2"/>
  <c r="P26" i="2"/>
  <c r="Q26" i="2"/>
  <c r="R26" i="2"/>
  <c r="S26" i="2"/>
  <c r="T26" i="2"/>
  <c r="U26" i="2"/>
  <c r="V26" i="2"/>
  <c r="W26" i="2"/>
  <c r="X26" i="2"/>
  <c r="O27" i="2"/>
  <c r="P27" i="2"/>
  <c r="Q27" i="2"/>
  <c r="R27" i="2"/>
  <c r="S27" i="2"/>
  <c r="T27" i="2"/>
  <c r="U27" i="2"/>
  <c r="V27" i="2"/>
  <c r="W27" i="2"/>
  <c r="X27" i="2"/>
  <c r="O28" i="2"/>
  <c r="P28" i="2"/>
  <c r="Q28" i="2"/>
  <c r="R28" i="2"/>
  <c r="S28" i="2"/>
  <c r="T28" i="2"/>
  <c r="U28" i="2"/>
  <c r="V28" i="2"/>
  <c r="W28" i="2"/>
  <c r="X28" i="2"/>
  <c r="O29" i="2"/>
  <c r="P29" i="2"/>
  <c r="Q29" i="2"/>
  <c r="R29" i="2"/>
  <c r="S29" i="2"/>
  <c r="T29" i="2"/>
  <c r="U29" i="2"/>
  <c r="V29" i="2"/>
  <c r="W29" i="2"/>
  <c r="X29" i="2"/>
  <c r="O30" i="2"/>
  <c r="P30" i="2"/>
  <c r="Q30" i="2"/>
  <c r="R30" i="2"/>
  <c r="S30" i="2"/>
  <c r="T30" i="2"/>
  <c r="U30" i="2"/>
  <c r="V30" i="2"/>
  <c r="W30" i="2"/>
  <c r="X30" i="2"/>
  <c r="O31" i="2"/>
  <c r="P31" i="2"/>
  <c r="Q31" i="2"/>
  <c r="R31" i="2"/>
  <c r="S31" i="2"/>
  <c r="T31" i="2"/>
  <c r="U31" i="2"/>
  <c r="V31" i="2"/>
  <c r="W31" i="2"/>
  <c r="X31" i="2"/>
  <c r="O32" i="2"/>
  <c r="P32" i="2"/>
  <c r="Q32" i="2"/>
  <c r="R32" i="2"/>
  <c r="S32" i="2"/>
  <c r="T32" i="2"/>
  <c r="U32" i="2"/>
  <c r="V32" i="2"/>
  <c r="W32" i="2"/>
  <c r="X32" i="2"/>
  <c r="O33" i="2"/>
  <c r="P33" i="2"/>
  <c r="Q33" i="2"/>
  <c r="R33" i="2"/>
  <c r="S33" i="2"/>
  <c r="T33" i="2"/>
  <c r="U33" i="2"/>
  <c r="V33" i="2"/>
  <c r="W33" i="2"/>
  <c r="X33" i="2"/>
  <c r="O34" i="2"/>
  <c r="P34" i="2"/>
  <c r="Q34" i="2"/>
  <c r="R34" i="2"/>
  <c r="S34" i="2"/>
  <c r="T34" i="2"/>
  <c r="U34" i="2"/>
  <c r="V34" i="2"/>
  <c r="W34" i="2"/>
  <c r="X34" i="2"/>
  <c r="O35" i="2"/>
  <c r="P35" i="2"/>
  <c r="Q35" i="2"/>
  <c r="R35" i="2"/>
  <c r="S35" i="2"/>
  <c r="T35" i="2"/>
  <c r="U35" i="2"/>
  <c r="V35" i="2"/>
  <c r="W35" i="2"/>
  <c r="X35" i="2"/>
  <c r="O36" i="2"/>
  <c r="P36" i="2"/>
  <c r="Q36" i="2"/>
  <c r="R36" i="2"/>
  <c r="S36" i="2"/>
  <c r="T36" i="2"/>
  <c r="U36" i="2"/>
  <c r="V36" i="2"/>
  <c r="W36" i="2"/>
  <c r="X36" i="2"/>
  <c r="O37" i="2"/>
  <c r="P37" i="2"/>
  <c r="Q37" i="2"/>
  <c r="R37" i="2"/>
  <c r="S37" i="2"/>
  <c r="T37" i="2"/>
  <c r="U37" i="2"/>
  <c r="V37" i="2"/>
  <c r="W37" i="2"/>
  <c r="X37" i="2"/>
  <c r="O38" i="2"/>
  <c r="P38" i="2"/>
  <c r="Q38" i="2"/>
  <c r="R38" i="2"/>
  <c r="S38" i="2"/>
  <c r="T38" i="2"/>
  <c r="U38" i="2"/>
  <c r="V38" i="2"/>
  <c r="W38" i="2"/>
  <c r="X38" i="2"/>
  <c r="O39" i="2"/>
  <c r="P39" i="2"/>
  <c r="Q39" i="2"/>
  <c r="R39" i="2"/>
  <c r="S39" i="2"/>
  <c r="T39" i="2"/>
  <c r="U39" i="2"/>
  <c r="V39" i="2"/>
  <c r="W39" i="2"/>
  <c r="X39" i="2"/>
  <c r="O40" i="2"/>
  <c r="P40" i="2"/>
  <c r="Q40" i="2"/>
  <c r="R40" i="2"/>
  <c r="S40" i="2"/>
  <c r="T40" i="2"/>
  <c r="U40" i="2"/>
  <c r="V40" i="2"/>
  <c r="W40" i="2"/>
  <c r="X40" i="2"/>
  <c r="O41" i="2"/>
  <c r="P41" i="2"/>
  <c r="Q41" i="2"/>
  <c r="R41" i="2"/>
  <c r="S41" i="2"/>
  <c r="T41" i="2"/>
  <c r="U41" i="2"/>
  <c r="V41" i="2"/>
  <c r="W41" i="2"/>
  <c r="X41" i="2"/>
  <c r="O42" i="2"/>
  <c r="P42" i="2"/>
  <c r="Q42" i="2"/>
  <c r="R42" i="2"/>
  <c r="S42" i="2"/>
  <c r="T42" i="2"/>
  <c r="U42" i="2"/>
  <c r="V42" i="2"/>
  <c r="W42" i="2"/>
  <c r="X42" i="2"/>
  <c r="O43" i="2"/>
  <c r="P43" i="2"/>
  <c r="Q43" i="2"/>
  <c r="R43" i="2"/>
  <c r="S43" i="2"/>
  <c r="T43" i="2"/>
  <c r="U43" i="2"/>
  <c r="V43" i="2"/>
  <c r="W43" i="2"/>
  <c r="X43" i="2"/>
  <c r="O44" i="2"/>
  <c r="P44" i="2"/>
  <c r="Q44" i="2"/>
  <c r="R44" i="2"/>
  <c r="S44" i="2"/>
  <c r="T44" i="2"/>
  <c r="U44" i="2"/>
  <c r="V44" i="2"/>
  <c r="W44" i="2"/>
  <c r="X44" i="2"/>
  <c r="O45" i="2"/>
  <c r="P45" i="2"/>
  <c r="Q45" i="2"/>
  <c r="R45" i="2"/>
  <c r="S45" i="2"/>
  <c r="T45" i="2"/>
  <c r="U45" i="2"/>
  <c r="V45" i="2"/>
  <c r="W45" i="2"/>
  <c r="X45" i="2"/>
  <c r="O46" i="2"/>
  <c r="P46" i="2"/>
  <c r="Q46" i="2"/>
  <c r="R46" i="2"/>
  <c r="S46" i="2"/>
  <c r="T46" i="2"/>
  <c r="U46" i="2"/>
  <c r="V46" i="2"/>
  <c r="W46" i="2"/>
  <c r="X46" i="2"/>
  <c r="O47" i="2"/>
  <c r="P47" i="2"/>
  <c r="Q47" i="2"/>
  <c r="R47" i="2"/>
  <c r="S47" i="2"/>
  <c r="T47" i="2"/>
  <c r="U47" i="2"/>
  <c r="V47" i="2"/>
  <c r="W47" i="2"/>
  <c r="X47" i="2"/>
  <c r="O48" i="2"/>
  <c r="P48" i="2"/>
  <c r="Q48" i="2"/>
  <c r="R48" i="2"/>
  <c r="S48" i="2"/>
  <c r="T48" i="2"/>
  <c r="U48" i="2"/>
  <c r="V48" i="2"/>
  <c r="W48" i="2"/>
  <c r="X48" i="2"/>
  <c r="O49" i="2"/>
  <c r="P49" i="2"/>
  <c r="Q49" i="2"/>
  <c r="R49" i="2"/>
  <c r="S49" i="2"/>
  <c r="T49" i="2"/>
  <c r="U49" i="2"/>
  <c r="V49" i="2"/>
  <c r="W49" i="2"/>
  <c r="X49" i="2"/>
  <c r="O50" i="2"/>
  <c r="P50" i="2"/>
  <c r="Q50" i="2"/>
  <c r="R50" i="2"/>
  <c r="S50" i="2"/>
  <c r="T50" i="2"/>
  <c r="U50" i="2"/>
  <c r="V50" i="2"/>
  <c r="W50" i="2"/>
  <c r="X50" i="2"/>
  <c r="O51" i="2"/>
  <c r="P51" i="2"/>
  <c r="Q51" i="2"/>
  <c r="R51" i="2"/>
  <c r="S51" i="2"/>
  <c r="T51" i="2"/>
  <c r="U51" i="2"/>
  <c r="V51" i="2"/>
  <c r="W51" i="2"/>
  <c r="X51" i="2"/>
  <c r="O52" i="2"/>
  <c r="P52" i="2"/>
  <c r="Q52" i="2"/>
  <c r="R52" i="2"/>
  <c r="S52" i="2"/>
  <c r="T52" i="2"/>
  <c r="U52" i="2"/>
  <c r="V52" i="2"/>
  <c r="W52" i="2"/>
  <c r="X52" i="2"/>
  <c r="O53" i="2"/>
  <c r="P53" i="2"/>
  <c r="Q53" i="2"/>
  <c r="R53" i="2"/>
  <c r="S53" i="2"/>
  <c r="T53" i="2"/>
  <c r="U53" i="2"/>
  <c r="V53" i="2"/>
  <c r="W53" i="2"/>
  <c r="X53" i="2"/>
  <c r="O54" i="2"/>
  <c r="P54" i="2"/>
  <c r="Q54" i="2"/>
  <c r="R54" i="2"/>
  <c r="S54" i="2"/>
  <c r="T54" i="2"/>
  <c r="U54" i="2"/>
  <c r="V54" i="2"/>
  <c r="W54" i="2"/>
  <c r="X54" i="2"/>
  <c r="O55" i="2"/>
  <c r="P55" i="2"/>
  <c r="Q55" i="2"/>
  <c r="R55" i="2"/>
  <c r="S55" i="2"/>
  <c r="T55" i="2"/>
  <c r="U55" i="2"/>
  <c r="V55" i="2"/>
  <c r="W55" i="2"/>
  <c r="X55" i="2"/>
  <c r="O56" i="2"/>
  <c r="P56" i="2"/>
  <c r="Q56" i="2"/>
  <c r="R56" i="2"/>
  <c r="S56" i="2"/>
  <c r="T56" i="2"/>
  <c r="U56" i="2"/>
  <c r="V56" i="2"/>
  <c r="W56" i="2"/>
  <c r="X56" i="2"/>
  <c r="O57" i="2"/>
  <c r="P57" i="2"/>
  <c r="Q57" i="2"/>
  <c r="R57" i="2"/>
  <c r="S57" i="2"/>
  <c r="T57" i="2"/>
  <c r="U57" i="2"/>
  <c r="V57" i="2"/>
  <c r="W57" i="2"/>
  <c r="X57" i="2"/>
  <c r="O58" i="2"/>
  <c r="P58" i="2"/>
  <c r="Q58" i="2"/>
  <c r="R58" i="2"/>
  <c r="S58" i="2"/>
  <c r="T58" i="2"/>
  <c r="U58" i="2"/>
  <c r="V58" i="2"/>
  <c r="W58" i="2"/>
  <c r="X58" i="2"/>
  <c r="O59" i="2"/>
  <c r="P59" i="2"/>
  <c r="Q59" i="2"/>
  <c r="R59" i="2"/>
  <c r="S59" i="2"/>
  <c r="T59" i="2"/>
  <c r="U59" i="2"/>
  <c r="V59" i="2"/>
  <c r="W59" i="2"/>
  <c r="X59" i="2"/>
  <c r="O60" i="2"/>
  <c r="P60" i="2"/>
  <c r="Q60" i="2"/>
  <c r="R60" i="2"/>
  <c r="S60" i="2"/>
  <c r="T60" i="2"/>
  <c r="U60" i="2"/>
  <c r="V60" i="2"/>
  <c r="W60" i="2"/>
  <c r="X60" i="2"/>
  <c r="O61" i="2"/>
  <c r="P61" i="2"/>
  <c r="Q61" i="2"/>
  <c r="R61" i="2"/>
  <c r="S61" i="2"/>
  <c r="T61" i="2"/>
  <c r="U61" i="2"/>
  <c r="V61" i="2"/>
  <c r="W61" i="2"/>
  <c r="X61" i="2"/>
  <c r="O62" i="2"/>
  <c r="P62" i="2"/>
  <c r="Q62" i="2"/>
  <c r="R62" i="2"/>
  <c r="S62" i="2"/>
  <c r="T62" i="2"/>
  <c r="U62" i="2"/>
  <c r="V62" i="2"/>
  <c r="W62" i="2"/>
  <c r="X62" i="2"/>
  <c r="O63" i="2"/>
  <c r="P63" i="2"/>
  <c r="Q63" i="2"/>
  <c r="R63" i="2"/>
  <c r="S63" i="2"/>
  <c r="T63" i="2"/>
  <c r="U63" i="2"/>
  <c r="V63" i="2"/>
  <c r="W63" i="2"/>
  <c r="X63" i="2"/>
  <c r="O64" i="2"/>
  <c r="P64" i="2"/>
  <c r="Q64" i="2"/>
  <c r="R64" i="2"/>
  <c r="S64" i="2"/>
  <c r="T64" i="2"/>
  <c r="U64" i="2"/>
  <c r="V64" i="2"/>
  <c r="W64" i="2"/>
  <c r="X64" i="2"/>
  <c r="O65" i="2"/>
  <c r="P65" i="2"/>
  <c r="Q65" i="2"/>
  <c r="R65" i="2"/>
  <c r="S65" i="2"/>
  <c r="T65" i="2"/>
  <c r="U65" i="2"/>
  <c r="V65" i="2"/>
  <c r="W65" i="2"/>
  <c r="X65" i="2"/>
  <c r="O66" i="2"/>
  <c r="P66" i="2"/>
  <c r="Q66" i="2"/>
  <c r="R66" i="2"/>
  <c r="S66" i="2"/>
  <c r="T66" i="2"/>
  <c r="U66" i="2"/>
  <c r="V66" i="2"/>
  <c r="W66" i="2"/>
  <c r="X66" i="2"/>
  <c r="O67" i="2"/>
  <c r="P67" i="2"/>
  <c r="Q67" i="2"/>
  <c r="R67" i="2"/>
  <c r="S67" i="2"/>
  <c r="T67" i="2"/>
  <c r="U67" i="2"/>
  <c r="V67" i="2"/>
  <c r="W67" i="2"/>
  <c r="X67" i="2"/>
  <c r="O68" i="2"/>
  <c r="P68" i="2"/>
  <c r="Q68" i="2"/>
  <c r="R68" i="2"/>
  <c r="S68" i="2"/>
  <c r="T68" i="2"/>
  <c r="U68" i="2"/>
  <c r="V68" i="2"/>
  <c r="W68" i="2"/>
  <c r="X68" i="2"/>
  <c r="O69" i="2"/>
  <c r="P69" i="2"/>
  <c r="Q69" i="2"/>
  <c r="R69" i="2"/>
  <c r="S69" i="2"/>
  <c r="T69" i="2"/>
  <c r="U69" i="2"/>
  <c r="V69" i="2"/>
  <c r="W69" i="2"/>
  <c r="X69" i="2"/>
  <c r="O70" i="2"/>
  <c r="P70" i="2"/>
  <c r="Q70" i="2"/>
  <c r="R70" i="2"/>
  <c r="S70" i="2"/>
  <c r="T70" i="2"/>
  <c r="U70" i="2"/>
  <c r="V70" i="2"/>
  <c r="W70" i="2"/>
  <c r="X70" i="2"/>
  <c r="O71" i="2"/>
  <c r="P71" i="2"/>
  <c r="Q71" i="2"/>
  <c r="R71" i="2"/>
  <c r="S71" i="2"/>
  <c r="T71" i="2"/>
  <c r="U71" i="2"/>
  <c r="V71" i="2"/>
  <c r="W71" i="2"/>
  <c r="X71" i="2"/>
  <c r="O72" i="2"/>
  <c r="P72" i="2"/>
  <c r="Q72" i="2"/>
  <c r="R72" i="2"/>
  <c r="S72" i="2"/>
  <c r="T72" i="2"/>
  <c r="U72" i="2"/>
  <c r="V72" i="2"/>
  <c r="W72" i="2"/>
  <c r="X72" i="2"/>
  <c r="O73" i="2"/>
  <c r="P73" i="2"/>
  <c r="Q73" i="2"/>
  <c r="R73" i="2"/>
  <c r="S73" i="2"/>
  <c r="T73" i="2"/>
  <c r="U73" i="2"/>
  <c r="V73" i="2"/>
  <c r="W73" i="2"/>
  <c r="X73" i="2"/>
  <c r="O74" i="2"/>
  <c r="P74" i="2"/>
  <c r="Q74" i="2"/>
  <c r="R74" i="2"/>
  <c r="S74" i="2"/>
  <c r="T74" i="2"/>
  <c r="U74" i="2"/>
  <c r="V74" i="2"/>
  <c r="W74" i="2"/>
  <c r="X74" i="2"/>
  <c r="O75" i="2"/>
  <c r="P75" i="2"/>
  <c r="Q75" i="2"/>
  <c r="R75" i="2"/>
  <c r="S75" i="2"/>
  <c r="T75" i="2"/>
  <c r="U75" i="2"/>
  <c r="V75" i="2"/>
  <c r="W75" i="2"/>
  <c r="X75" i="2"/>
  <c r="O76" i="2"/>
  <c r="P76" i="2"/>
  <c r="Q76" i="2"/>
  <c r="R76" i="2"/>
  <c r="S76" i="2"/>
  <c r="T76" i="2"/>
  <c r="U76" i="2"/>
  <c r="V76" i="2"/>
  <c r="W76" i="2"/>
  <c r="X76" i="2"/>
  <c r="O77" i="2"/>
  <c r="P77" i="2"/>
  <c r="Q77" i="2"/>
  <c r="R77" i="2"/>
  <c r="S77" i="2"/>
  <c r="T77" i="2"/>
  <c r="U77" i="2"/>
  <c r="V77" i="2"/>
  <c r="W77" i="2"/>
  <c r="X77" i="2"/>
  <c r="O78" i="2"/>
  <c r="P78" i="2"/>
  <c r="Q78" i="2"/>
  <c r="R78" i="2"/>
  <c r="S78" i="2"/>
  <c r="T78" i="2"/>
  <c r="U78" i="2"/>
  <c r="V78" i="2"/>
  <c r="W78" i="2"/>
  <c r="X78" i="2"/>
  <c r="O79" i="2"/>
  <c r="P79" i="2"/>
  <c r="Q79" i="2"/>
  <c r="R79" i="2"/>
  <c r="S79" i="2"/>
  <c r="T79" i="2"/>
  <c r="U79" i="2"/>
  <c r="V79" i="2"/>
  <c r="W79" i="2"/>
  <c r="X79" i="2"/>
  <c r="O80" i="2"/>
  <c r="P80" i="2"/>
  <c r="Q80" i="2"/>
  <c r="R80" i="2"/>
  <c r="S80" i="2"/>
  <c r="T80" i="2"/>
  <c r="U80" i="2"/>
  <c r="V80" i="2"/>
  <c r="W80" i="2"/>
  <c r="X80" i="2"/>
  <c r="O81" i="2"/>
  <c r="P81" i="2"/>
  <c r="Q81" i="2"/>
  <c r="R81" i="2"/>
  <c r="S81" i="2"/>
  <c r="T81" i="2"/>
  <c r="U81" i="2"/>
  <c r="V81" i="2"/>
  <c r="W81" i="2"/>
  <c r="X81" i="2"/>
  <c r="O82" i="2"/>
  <c r="P82" i="2"/>
  <c r="Q82" i="2"/>
  <c r="R82" i="2"/>
  <c r="S82" i="2"/>
  <c r="T82" i="2"/>
  <c r="U82" i="2"/>
  <c r="V82" i="2"/>
  <c r="W82" i="2"/>
  <c r="X82" i="2"/>
  <c r="O83" i="2"/>
  <c r="P83" i="2"/>
  <c r="Q83" i="2"/>
  <c r="R83" i="2"/>
  <c r="S83" i="2"/>
  <c r="T83" i="2"/>
  <c r="U83" i="2"/>
  <c r="V83" i="2"/>
  <c r="W83" i="2"/>
  <c r="X83" i="2"/>
  <c r="O84" i="2"/>
  <c r="P84" i="2"/>
  <c r="Q84" i="2"/>
  <c r="R84" i="2"/>
  <c r="S84" i="2"/>
  <c r="T84" i="2"/>
  <c r="U84" i="2"/>
  <c r="V84" i="2"/>
  <c r="W84" i="2"/>
  <c r="X84" i="2"/>
  <c r="O85" i="2"/>
  <c r="P85" i="2"/>
  <c r="Q85" i="2"/>
  <c r="R85" i="2"/>
  <c r="S85" i="2"/>
  <c r="T85" i="2"/>
  <c r="U85" i="2"/>
  <c r="V85" i="2"/>
  <c r="W85" i="2"/>
  <c r="X85" i="2"/>
  <c r="O86" i="2"/>
  <c r="P86" i="2"/>
  <c r="Q86" i="2"/>
  <c r="R86" i="2"/>
  <c r="S86" i="2"/>
  <c r="T86" i="2"/>
  <c r="U86" i="2"/>
  <c r="V86" i="2"/>
  <c r="W86" i="2"/>
  <c r="X86" i="2"/>
  <c r="O87" i="2"/>
  <c r="P87" i="2"/>
  <c r="Q87" i="2"/>
  <c r="R87" i="2"/>
  <c r="S87" i="2"/>
  <c r="T87" i="2"/>
  <c r="U87" i="2"/>
  <c r="V87" i="2"/>
  <c r="W87" i="2"/>
  <c r="X87" i="2"/>
  <c r="O88" i="2"/>
  <c r="P88" i="2"/>
  <c r="Q88" i="2"/>
  <c r="R88" i="2"/>
  <c r="S88" i="2"/>
  <c r="T88" i="2"/>
  <c r="U88" i="2"/>
  <c r="V88" i="2"/>
  <c r="W88" i="2"/>
  <c r="X88" i="2"/>
  <c r="O89" i="2"/>
  <c r="P89" i="2"/>
  <c r="Q89" i="2"/>
  <c r="R89" i="2"/>
  <c r="S89" i="2"/>
  <c r="T89" i="2"/>
  <c r="U89" i="2"/>
  <c r="V89" i="2"/>
  <c r="W89" i="2"/>
  <c r="X89" i="2"/>
  <c r="O90" i="2"/>
  <c r="P90" i="2"/>
  <c r="Q90" i="2"/>
  <c r="R90" i="2"/>
  <c r="S90" i="2"/>
  <c r="T90" i="2"/>
  <c r="U90" i="2"/>
  <c r="V90" i="2"/>
  <c r="W90" i="2"/>
  <c r="X90" i="2"/>
  <c r="O91" i="2"/>
  <c r="P91" i="2"/>
  <c r="Q91" i="2"/>
  <c r="R91" i="2"/>
  <c r="S91" i="2"/>
  <c r="T91" i="2"/>
  <c r="U91" i="2"/>
  <c r="V91" i="2"/>
  <c r="W91" i="2"/>
  <c r="X91" i="2"/>
  <c r="O92" i="2"/>
  <c r="P92" i="2"/>
  <c r="Q92" i="2"/>
  <c r="R92" i="2"/>
  <c r="S92" i="2"/>
  <c r="T92" i="2"/>
  <c r="U92" i="2"/>
  <c r="V92" i="2"/>
  <c r="W92" i="2"/>
  <c r="X92" i="2"/>
  <c r="O93" i="2"/>
  <c r="P93" i="2"/>
  <c r="Q93" i="2"/>
  <c r="R93" i="2"/>
  <c r="S93" i="2"/>
  <c r="T93" i="2"/>
  <c r="U93" i="2"/>
  <c r="V93" i="2"/>
  <c r="W93" i="2"/>
  <c r="X93" i="2"/>
  <c r="O94" i="2"/>
  <c r="P94" i="2"/>
  <c r="Q94" i="2"/>
  <c r="R94" i="2"/>
  <c r="S94" i="2"/>
  <c r="T94" i="2"/>
  <c r="U94" i="2"/>
  <c r="V94" i="2"/>
  <c r="W94" i="2"/>
  <c r="X94" i="2"/>
  <c r="O95" i="2"/>
  <c r="P95" i="2"/>
  <c r="Q95" i="2"/>
  <c r="R95" i="2"/>
  <c r="S95" i="2"/>
  <c r="T95" i="2"/>
  <c r="U95" i="2"/>
  <c r="V95" i="2"/>
  <c r="W95" i="2"/>
  <c r="X95" i="2"/>
  <c r="O96" i="2"/>
  <c r="P96" i="2"/>
  <c r="Q96" i="2"/>
  <c r="R96" i="2"/>
  <c r="S96" i="2"/>
  <c r="T96" i="2"/>
  <c r="U96" i="2"/>
  <c r="V96" i="2"/>
  <c r="W96" i="2"/>
  <c r="X96" i="2"/>
  <c r="O97" i="2"/>
  <c r="P97" i="2"/>
  <c r="Q97" i="2"/>
  <c r="R97" i="2"/>
  <c r="S97" i="2"/>
  <c r="T97" i="2"/>
  <c r="U97" i="2"/>
  <c r="V97" i="2"/>
  <c r="W97" i="2"/>
  <c r="X97" i="2"/>
  <c r="O98" i="2"/>
  <c r="P98" i="2"/>
  <c r="Q98" i="2"/>
  <c r="R98" i="2"/>
  <c r="S98" i="2"/>
  <c r="T98" i="2"/>
  <c r="U98" i="2"/>
  <c r="V98" i="2"/>
  <c r="W98" i="2"/>
  <c r="X98" i="2"/>
  <c r="O99" i="2"/>
  <c r="P99" i="2"/>
  <c r="Q99" i="2"/>
  <c r="R99" i="2"/>
  <c r="S99" i="2"/>
  <c r="T99" i="2"/>
  <c r="U99" i="2"/>
  <c r="V99" i="2"/>
  <c r="W99" i="2"/>
  <c r="X99" i="2"/>
  <c r="O100" i="2"/>
  <c r="P100" i="2"/>
  <c r="Q100" i="2"/>
  <c r="R100" i="2"/>
  <c r="S100" i="2"/>
  <c r="T100" i="2"/>
  <c r="U100" i="2"/>
  <c r="V100" i="2"/>
  <c r="W100" i="2"/>
  <c r="X100" i="2"/>
  <c r="O101" i="2"/>
  <c r="P101" i="2"/>
  <c r="Q101" i="2"/>
  <c r="R101" i="2"/>
  <c r="S101" i="2"/>
  <c r="T101" i="2"/>
  <c r="U101" i="2"/>
  <c r="V101" i="2"/>
  <c r="W101" i="2"/>
  <c r="X101" i="2"/>
  <c r="O102" i="2"/>
  <c r="P102" i="2"/>
  <c r="Q102" i="2"/>
  <c r="R102" i="2"/>
  <c r="S102" i="2"/>
  <c r="T102" i="2"/>
  <c r="U102" i="2"/>
  <c r="V102" i="2"/>
  <c r="W102" i="2"/>
  <c r="X102" i="2"/>
  <c r="O103" i="2"/>
  <c r="P103" i="2"/>
  <c r="Q103" i="2"/>
  <c r="R103" i="2"/>
  <c r="S103" i="2"/>
  <c r="T103" i="2"/>
  <c r="U103" i="2"/>
  <c r="V103" i="2"/>
  <c r="W103" i="2"/>
  <c r="X103" i="2"/>
  <c r="O104" i="2"/>
  <c r="P104" i="2"/>
  <c r="Q104" i="2"/>
  <c r="R104" i="2"/>
  <c r="S104" i="2"/>
  <c r="T104" i="2"/>
  <c r="U104" i="2"/>
  <c r="V104" i="2"/>
  <c r="W104" i="2"/>
  <c r="X104" i="2"/>
  <c r="O105" i="2"/>
  <c r="P105" i="2"/>
  <c r="Q105" i="2"/>
  <c r="R105" i="2"/>
  <c r="S105" i="2"/>
  <c r="T105" i="2"/>
  <c r="U105" i="2"/>
  <c r="V105" i="2"/>
  <c r="W105" i="2"/>
  <c r="X105" i="2"/>
  <c r="O106" i="2"/>
  <c r="P106" i="2"/>
  <c r="Q106" i="2"/>
  <c r="R106" i="2"/>
  <c r="S106" i="2"/>
  <c r="T106" i="2"/>
  <c r="U106" i="2"/>
  <c r="V106" i="2"/>
  <c r="W106" i="2"/>
  <c r="X106" i="2"/>
  <c r="O107" i="2"/>
  <c r="P107" i="2"/>
  <c r="Q107" i="2"/>
  <c r="R107" i="2"/>
  <c r="S107" i="2"/>
  <c r="T107" i="2"/>
  <c r="U107" i="2"/>
  <c r="V107" i="2"/>
  <c r="W107" i="2"/>
  <c r="X107" i="2"/>
  <c r="O108" i="2"/>
  <c r="P108" i="2"/>
  <c r="Q108" i="2"/>
  <c r="R108" i="2"/>
  <c r="S108" i="2"/>
  <c r="T108" i="2"/>
  <c r="U108" i="2"/>
  <c r="V108" i="2"/>
  <c r="W108" i="2"/>
  <c r="X108" i="2"/>
  <c r="O109" i="2"/>
  <c r="P109" i="2"/>
  <c r="Q109" i="2"/>
  <c r="R109" i="2"/>
  <c r="S109" i="2"/>
  <c r="T109" i="2"/>
  <c r="U109" i="2"/>
  <c r="V109" i="2"/>
  <c r="W109" i="2"/>
  <c r="X109" i="2"/>
  <c r="O110" i="2"/>
  <c r="P110" i="2"/>
  <c r="Q110" i="2"/>
  <c r="R110" i="2"/>
  <c r="S110" i="2"/>
  <c r="T110" i="2"/>
  <c r="U110" i="2"/>
  <c r="V110" i="2"/>
  <c r="W110" i="2"/>
  <c r="X110" i="2"/>
  <c r="O111" i="2"/>
  <c r="P111" i="2"/>
  <c r="Q111" i="2"/>
  <c r="R111" i="2"/>
  <c r="S111" i="2"/>
  <c r="T111" i="2"/>
  <c r="U111" i="2"/>
  <c r="V111" i="2"/>
  <c r="W111" i="2"/>
  <c r="X111" i="2"/>
  <c r="O112" i="2"/>
  <c r="P112" i="2"/>
  <c r="Q112" i="2"/>
  <c r="R112" i="2"/>
  <c r="S112" i="2"/>
  <c r="T112" i="2"/>
  <c r="U112" i="2"/>
  <c r="V112" i="2"/>
  <c r="W112" i="2"/>
  <c r="X112" i="2"/>
  <c r="O113" i="2"/>
  <c r="P113" i="2"/>
  <c r="Q113" i="2"/>
  <c r="R113" i="2"/>
  <c r="S113" i="2"/>
  <c r="T113" i="2"/>
  <c r="U113" i="2"/>
  <c r="V113" i="2"/>
  <c r="W113" i="2"/>
  <c r="X113" i="2"/>
  <c r="O114" i="2"/>
  <c r="P114" i="2"/>
  <c r="Q114" i="2"/>
  <c r="R114" i="2"/>
  <c r="S114" i="2"/>
  <c r="T114" i="2"/>
  <c r="U114" i="2"/>
  <c r="V114" i="2"/>
  <c r="W114" i="2"/>
  <c r="X114" i="2"/>
  <c r="O115" i="2"/>
  <c r="P115" i="2"/>
  <c r="Q115" i="2"/>
  <c r="R115" i="2"/>
  <c r="S115" i="2"/>
  <c r="T115" i="2"/>
  <c r="U115" i="2"/>
  <c r="V115" i="2"/>
  <c r="W115" i="2"/>
  <c r="X115" i="2"/>
  <c r="O116" i="2"/>
  <c r="P116" i="2"/>
  <c r="Q116" i="2"/>
  <c r="R116" i="2"/>
  <c r="S116" i="2"/>
  <c r="T116" i="2"/>
  <c r="U116" i="2"/>
  <c r="V116" i="2"/>
  <c r="W116" i="2"/>
  <c r="X116" i="2"/>
  <c r="O117" i="2"/>
  <c r="P117" i="2"/>
  <c r="Q117" i="2"/>
  <c r="R117" i="2"/>
  <c r="S117" i="2"/>
  <c r="T117" i="2"/>
  <c r="U117" i="2"/>
  <c r="V117" i="2"/>
  <c r="W117" i="2"/>
  <c r="X117" i="2"/>
  <c r="O118" i="2"/>
  <c r="P118" i="2"/>
  <c r="Q118" i="2"/>
  <c r="R118" i="2"/>
  <c r="S118" i="2"/>
  <c r="T118" i="2"/>
  <c r="U118" i="2"/>
  <c r="V118" i="2"/>
  <c r="W118" i="2"/>
  <c r="X118" i="2"/>
  <c r="T4" i="2"/>
  <c r="X4" i="2"/>
  <c r="W4" i="2"/>
  <c r="V4" i="2"/>
  <c r="U4" i="2"/>
  <c r="S4" i="2"/>
  <c r="P4" i="2"/>
  <c r="Q4" i="2"/>
  <c r="R4" i="2"/>
  <c r="O4" i="2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3" i="1"/>
  <c r="Y97" i="2" l="1"/>
  <c r="D97" i="2" s="1"/>
  <c r="Y71" i="2"/>
  <c r="D71" i="2" s="1"/>
  <c r="Y104" i="2"/>
  <c r="D104" i="2" s="1"/>
  <c r="Y74" i="2"/>
  <c r="D74" i="2" s="1"/>
  <c r="Y112" i="2"/>
  <c r="D112" i="2" s="1"/>
  <c r="Y111" i="2"/>
  <c r="D111" i="2" s="1"/>
  <c r="Y96" i="2"/>
  <c r="D96" i="2" s="1"/>
  <c r="Y115" i="2"/>
  <c r="D115" i="2" s="1"/>
  <c r="Y118" i="2"/>
  <c r="D118" i="2" s="1"/>
  <c r="Y117" i="2"/>
  <c r="D117" i="2" s="1"/>
  <c r="Y116" i="2"/>
  <c r="D116" i="2" s="1"/>
  <c r="Y114" i="2"/>
  <c r="D114" i="2" s="1"/>
  <c r="Y113" i="2"/>
  <c r="D113" i="2" s="1"/>
  <c r="Y110" i="2"/>
  <c r="D110" i="2" s="1"/>
  <c r="Y109" i="2"/>
  <c r="D109" i="2" s="1"/>
  <c r="Y108" i="2"/>
  <c r="D108" i="2" s="1"/>
  <c r="Y107" i="2"/>
  <c r="D107" i="2" s="1"/>
  <c r="Y106" i="2"/>
  <c r="D106" i="2" s="1"/>
  <c r="Y105" i="2"/>
  <c r="D105" i="2" s="1"/>
  <c r="Y103" i="2"/>
  <c r="D103" i="2" s="1"/>
  <c r="Y102" i="2"/>
  <c r="D102" i="2" s="1"/>
  <c r="Y100" i="2"/>
  <c r="D100" i="2" s="1"/>
  <c r="Y99" i="2"/>
  <c r="D99" i="2" s="1"/>
  <c r="Y98" i="2"/>
  <c r="D98" i="2" s="1"/>
  <c r="Y101" i="2"/>
  <c r="D101" i="2" s="1"/>
  <c r="Y95" i="2"/>
  <c r="D95" i="2" s="1"/>
  <c r="Y94" i="2"/>
  <c r="D94" i="2" s="1"/>
  <c r="Y93" i="2"/>
  <c r="D93" i="2" s="1"/>
  <c r="Y73" i="2"/>
  <c r="D73" i="2" s="1"/>
  <c r="Y62" i="2"/>
  <c r="D62" i="2" s="1"/>
  <c r="Y92" i="2"/>
  <c r="D92" i="2" s="1"/>
  <c r="Y91" i="2"/>
  <c r="D91" i="2" s="1"/>
  <c r="Y90" i="2"/>
  <c r="D90" i="2" s="1"/>
  <c r="Y89" i="2"/>
  <c r="D89" i="2" s="1"/>
  <c r="Y87" i="2"/>
  <c r="D87" i="2" s="1"/>
  <c r="Y88" i="2"/>
  <c r="D88" i="2" s="1"/>
  <c r="Y86" i="2"/>
  <c r="D86" i="2" s="1"/>
  <c r="Y85" i="2"/>
  <c r="D85" i="2" s="1"/>
  <c r="Y84" i="2"/>
  <c r="D84" i="2" s="1"/>
  <c r="Y83" i="2"/>
  <c r="D83" i="2" s="1"/>
  <c r="Y82" i="2"/>
  <c r="D82" i="2" s="1"/>
  <c r="Y81" i="2"/>
  <c r="D81" i="2" s="1"/>
  <c r="Y80" i="2"/>
  <c r="D80" i="2" s="1"/>
  <c r="Y78" i="2"/>
  <c r="D78" i="2" s="1"/>
  <c r="Y79" i="2"/>
  <c r="D79" i="2" s="1"/>
  <c r="Y77" i="2"/>
  <c r="D77" i="2" s="1"/>
  <c r="Y76" i="2"/>
  <c r="D76" i="2" s="1"/>
  <c r="Y75" i="2"/>
  <c r="D75" i="2" s="1"/>
  <c r="Y72" i="2"/>
  <c r="D72" i="2" s="1"/>
  <c r="Y69" i="2"/>
  <c r="D69" i="2" s="1"/>
  <c r="Y70" i="2"/>
  <c r="D70" i="2" s="1"/>
  <c r="Y67" i="2"/>
  <c r="D67" i="2" s="1"/>
  <c r="Y68" i="2"/>
  <c r="D68" i="2" s="1"/>
  <c r="Y65" i="2"/>
  <c r="D65" i="2" s="1"/>
  <c r="Y66" i="2"/>
  <c r="D66" i="2" s="1"/>
  <c r="Y63" i="2"/>
  <c r="D63" i="2" s="1"/>
  <c r="Y64" i="2"/>
  <c r="D64" i="2" s="1"/>
  <c r="Y61" i="2"/>
  <c r="D61" i="2" s="1"/>
  <c r="Y60" i="2"/>
  <c r="D60" i="2" s="1"/>
  <c r="Y59" i="2"/>
  <c r="D59" i="2" s="1"/>
  <c r="Y58" i="2"/>
  <c r="D58" i="2" s="1"/>
  <c r="Y57" i="2"/>
  <c r="D57" i="2" s="1"/>
  <c r="Y56" i="2"/>
  <c r="D56" i="2" s="1"/>
  <c r="Y50" i="2"/>
  <c r="D50" i="2" s="1"/>
  <c r="Y55" i="2"/>
  <c r="D55" i="2" s="1"/>
  <c r="Y54" i="2"/>
  <c r="D54" i="2" s="1"/>
  <c r="Y53" i="2"/>
  <c r="D53" i="2" s="1"/>
  <c r="Y52" i="2"/>
  <c r="D52" i="2" s="1"/>
  <c r="Y51" i="2"/>
  <c r="D51" i="2" s="1"/>
  <c r="Y49" i="2"/>
  <c r="D49" i="2" s="1"/>
  <c r="Y48" i="2"/>
  <c r="D48" i="2" s="1"/>
  <c r="Y47" i="2"/>
  <c r="D47" i="2" s="1"/>
  <c r="Y41" i="2"/>
  <c r="D41" i="2" s="1"/>
  <c r="Y46" i="2"/>
  <c r="D46" i="2" s="1"/>
  <c r="Y45" i="2"/>
  <c r="D45" i="2" s="1"/>
  <c r="Y44" i="2"/>
  <c r="D44" i="2" s="1"/>
  <c r="Y9" i="2"/>
  <c r="D9" i="2" s="1"/>
  <c r="Y6" i="2"/>
  <c r="D6" i="2" s="1"/>
  <c r="Y43" i="2"/>
  <c r="D43" i="2" s="1"/>
  <c r="Y42" i="2"/>
  <c r="D42" i="2" s="1"/>
  <c r="Y40" i="2"/>
  <c r="D40" i="2" s="1"/>
  <c r="Y31" i="2"/>
  <c r="D31" i="2" s="1"/>
  <c r="Y5" i="2"/>
  <c r="D5" i="2" s="1"/>
  <c r="Y37" i="2"/>
  <c r="D37" i="2" s="1"/>
  <c r="Y32" i="2"/>
  <c r="D32" i="2" s="1"/>
  <c r="Y8" i="2"/>
  <c r="D8" i="2" s="1"/>
  <c r="Y35" i="2"/>
  <c r="D35" i="2" s="1"/>
  <c r="Y27" i="2"/>
  <c r="D27" i="2" s="1"/>
  <c r="Y11" i="2"/>
  <c r="D11" i="2" s="1"/>
  <c r="Y7" i="2"/>
  <c r="D7" i="2" s="1"/>
  <c r="Y12" i="2"/>
  <c r="D12" i="2" s="1"/>
  <c r="Y10" i="2"/>
  <c r="D10" i="2" s="1"/>
  <c r="Y39" i="2"/>
  <c r="D39" i="2" s="1"/>
  <c r="Y38" i="2"/>
  <c r="D38" i="2" s="1"/>
  <c r="Y36" i="2"/>
  <c r="D36" i="2" s="1"/>
  <c r="Y34" i="2"/>
  <c r="D34" i="2" s="1"/>
  <c r="Y33" i="2"/>
  <c r="D33" i="2" s="1"/>
  <c r="Y30" i="2"/>
  <c r="D30" i="2" s="1"/>
  <c r="Y29" i="2"/>
  <c r="D29" i="2" s="1"/>
  <c r="Y28" i="2"/>
  <c r="D28" i="2" s="1"/>
  <c r="Y26" i="2"/>
  <c r="D26" i="2" s="1"/>
  <c r="Y25" i="2"/>
  <c r="D25" i="2" s="1"/>
  <c r="Y15" i="2"/>
  <c r="D15" i="2" s="1"/>
  <c r="Y16" i="2"/>
  <c r="D16" i="2" s="1"/>
  <c r="Y24" i="2"/>
  <c r="D24" i="2" s="1"/>
  <c r="Y23" i="2"/>
  <c r="D23" i="2" s="1"/>
  <c r="Y22" i="2"/>
  <c r="D22" i="2" s="1"/>
  <c r="Y21" i="2"/>
  <c r="D21" i="2" s="1"/>
  <c r="Y20" i="2"/>
  <c r="D20" i="2" s="1"/>
  <c r="Y19" i="2"/>
  <c r="D19" i="2" s="1"/>
  <c r="Y18" i="2"/>
  <c r="D18" i="2" s="1"/>
  <c r="Y17" i="2"/>
  <c r="D17" i="2" s="1"/>
  <c r="Y14" i="2"/>
  <c r="D14" i="2" s="1"/>
  <c r="Y13" i="2"/>
  <c r="D13" i="2" s="1"/>
  <c r="Y4" i="2"/>
  <c r="D4" i="2" s="1"/>
</calcChain>
</file>

<file path=xl/sharedStrings.xml><?xml version="1.0" encoding="utf-8"?>
<sst xmlns="http://schemas.openxmlformats.org/spreadsheetml/2006/main" count="1491" uniqueCount="256">
  <si>
    <t>Sursa SBUS</t>
  </si>
  <si>
    <t>Sursa DBUS</t>
  </si>
  <si>
    <t>Operatie ALU</t>
  </si>
  <si>
    <t>Destinatie RBUS</t>
  </si>
  <si>
    <t>Operatii cu Memoria</t>
  </si>
  <si>
    <t>Alte Operatii</t>
  </si>
  <si>
    <t>Succesor</t>
  </si>
  <si>
    <t>Selectie INDEX</t>
  </si>
  <si>
    <t>Microadresa de salt</t>
  </si>
  <si>
    <t>-</t>
  </si>
  <si>
    <t>Eticheta</t>
  </si>
  <si>
    <t>IFCH:</t>
  </si>
  <si>
    <t>Microadresa MPM (hexa)</t>
  </si>
  <si>
    <t>Microadresa MPM (decimal)</t>
  </si>
  <si>
    <t>ILLEGAL:</t>
  </si>
  <si>
    <t>PWFAIL:</t>
  </si>
  <si>
    <t>INT:</t>
  </si>
  <si>
    <t>B1:</t>
  </si>
  <si>
    <t>B2:</t>
  </si>
  <si>
    <t>B3:</t>
  </si>
  <si>
    <t>B4:</t>
  </si>
  <si>
    <t>FOSEND:</t>
  </si>
  <si>
    <t>FOD_AM_B2:</t>
  </si>
  <si>
    <t>FOD_AD_B2:</t>
  </si>
  <si>
    <t>FOD_AI_B2:</t>
  </si>
  <si>
    <t>FOD_AX_B2:</t>
  </si>
  <si>
    <t>FOD_AM_B1:</t>
  </si>
  <si>
    <t>FOD_AD_B1:</t>
  </si>
  <si>
    <t>FOD_AI_B1:</t>
  </si>
  <si>
    <t>FOD_AX_B1:</t>
  </si>
  <si>
    <t>FOS_AM:</t>
  </si>
  <si>
    <t>FOS_AD:</t>
  </si>
  <si>
    <t>FOS_AI:</t>
  </si>
  <si>
    <t>FOS_AX:</t>
  </si>
  <si>
    <t>MOV:</t>
  </si>
  <si>
    <t>ADD:</t>
  </si>
  <si>
    <t>SUB:</t>
  </si>
  <si>
    <t>CMP:</t>
  </si>
  <si>
    <t>AND:</t>
  </si>
  <si>
    <t>OR:</t>
  </si>
  <si>
    <t>XOR:</t>
  </si>
  <si>
    <t>CLR:</t>
  </si>
  <si>
    <t>NEG:</t>
  </si>
  <si>
    <t>INC:</t>
  </si>
  <si>
    <t>DEC:</t>
  </si>
  <si>
    <t>ASL:</t>
  </si>
  <si>
    <t>ASR:</t>
  </si>
  <si>
    <t>LSR:</t>
  </si>
  <si>
    <t>ROL:</t>
  </si>
  <si>
    <t>ROR:</t>
  </si>
  <si>
    <t>RLC:</t>
  </si>
  <si>
    <t>RRC:</t>
  </si>
  <si>
    <t>PUSH:</t>
  </si>
  <si>
    <t>POP:</t>
  </si>
  <si>
    <t>WRD:</t>
  </si>
  <si>
    <t>BEQ:</t>
  </si>
  <si>
    <t>BNE:</t>
  </si>
  <si>
    <t>BMI:</t>
  </si>
  <si>
    <t>BPL:</t>
  </si>
  <si>
    <t>BCS:</t>
  </si>
  <si>
    <t>BCC:</t>
  </si>
  <si>
    <t>BVS:</t>
  </si>
  <si>
    <t>BVC:</t>
  </si>
  <si>
    <t>JMP:</t>
  </si>
  <si>
    <t>CALL:</t>
  </si>
  <si>
    <t>CALL_AM:</t>
  </si>
  <si>
    <t>CALL_AD:</t>
  </si>
  <si>
    <t>CALL_AI:</t>
  </si>
  <si>
    <t>CALL_AX:</t>
  </si>
  <si>
    <t>CALL_2:</t>
  </si>
  <si>
    <t>CALL_3:</t>
  </si>
  <si>
    <t>JMP_AM:</t>
  </si>
  <si>
    <t>JMP_AD:</t>
  </si>
  <si>
    <t>JMP_AI:</t>
  </si>
  <si>
    <t>JMP_AX:</t>
  </si>
  <si>
    <t>JMP_AM_2:</t>
  </si>
  <si>
    <t>CLC</t>
  </si>
  <si>
    <t>SEC:</t>
  </si>
  <si>
    <t>NOP:</t>
  </si>
  <si>
    <t>HALT:</t>
  </si>
  <si>
    <t>EI:</t>
  </si>
  <si>
    <t>DI:</t>
  </si>
  <si>
    <t>PUSH PC:</t>
  </si>
  <si>
    <t>POP PC:</t>
  </si>
  <si>
    <t>PUSH FLAG:</t>
  </si>
  <si>
    <t>POP FLAG:</t>
  </si>
  <si>
    <t>RET:</t>
  </si>
  <si>
    <t>IRET:</t>
  </si>
  <si>
    <t>35 … 32</t>
  </si>
  <si>
    <t>31 … 28</t>
  </si>
  <si>
    <t>27 … 24</t>
  </si>
  <si>
    <t>23 … 20</t>
  </si>
  <si>
    <t>19 … 18</t>
  </si>
  <si>
    <t>17 … 14</t>
  </si>
  <si>
    <t>13 … 11</t>
  </si>
  <si>
    <t>10 … 8</t>
  </si>
  <si>
    <t>6 … 0</t>
  </si>
  <si>
    <t>MIR register</t>
  </si>
  <si>
    <t>True negat/False</t>
  </si>
  <si>
    <t>Cod microcomanda (hexa)</t>
  </si>
  <si>
    <t>Cod microcomanda (decimal)</t>
  </si>
  <si>
    <t>Cod microinstructiune (binar)</t>
  </si>
  <si>
    <t>Cod microinstructiune (hexa)</t>
  </si>
  <si>
    <t>NONE: 0000</t>
  </si>
  <si>
    <t>NONE: 00</t>
  </si>
  <si>
    <t>STEP: 000</t>
  </si>
  <si>
    <t>INDEX0: 000</t>
  </si>
  <si>
    <t>T: 0</t>
  </si>
  <si>
    <t>PdFLAGs: 0001</t>
  </si>
  <si>
    <t>PdFLAGd: 0001</t>
  </si>
  <si>
    <t>SBUS: 0001</t>
  </si>
  <si>
    <t>PmFLAG: 0001</t>
  </si>
  <si>
    <t>IFCH: 01</t>
  </si>
  <si>
    <t>+2SP: 0001</t>
  </si>
  <si>
    <t>JUMPI: 001</t>
  </si>
  <si>
    <t>INDEX1: 001</t>
  </si>
  <si>
    <t>F: 1</t>
  </si>
  <si>
    <t>PdRGs: 0010</t>
  </si>
  <si>
    <t>PdRGd: 0010</t>
  </si>
  <si>
    <t>DBUS: 0010</t>
  </si>
  <si>
    <t>PmFLAG[3…0]: 0010</t>
  </si>
  <si>
    <t>READ: 10</t>
  </si>
  <si>
    <t>-2SP: 0010</t>
  </si>
  <si>
    <t>INDEX2: 010</t>
  </si>
  <si>
    <t>PdSPs: 0011</t>
  </si>
  <si>
    <t>PdSPd: 0011</t>
  </si>
  <si>
    <t>PmRG: 0011</t>
  </si>
  <si>
    <t>WRITE: 11</t>
  </si>
  <si>
    <t>+2PC: 0011</t>
  </si>
  <si>
    <t>INDEX3: 011</t>
  </si>
  <si>
    <t>PdTs: 0100</t>
  </si>
  <si>
    <t>PdTd: 0100</t>
  </si>
  <si>
    <t>SUB: 0100</t>
  </si>
  <si>
    <t>PmSP: 0100</t>
  </si>
  <si>
    <t>A(1)BE0: 0100</t>
  </si>
  <si>
    <t>INDEX4: 100</t>
  </si>
  <si>
    <t>PdTs: 0101</t>
  </si>
  <si>
    <t>AND: 0101</t>
  </si>
  <si>
    <t>PmT: 0101</t>
  </si>
  <si>
    <t>A(1)BE1: 0101</t>
  </si>
  <si>
    <t>INDEX5: 101</t>
  </si>
  <si>
    <t>PdPCs: 0110</t>
  </si>
  <si>
    <t>PdPCd: 0110</t>
  </si>
  <si>
    <t>OR: 0110</t>
  </si>
  <si>
    <t>PmPC: 0110</t>
  </si>
  <si>
    <t>INDEX6: 110</t>
  </si>
  <si>
    <t>PdIVRs: 0111</t>
  </si>
  <si>
    <t>XOR: 0111</t>
  </si>
  <si>
    <t>PmIVR: 0111</t>
  </si>
  <si>
    <t>INDEX7: 111</t>
  </si>
  <si>
    <t>PdADRs: 1000</t>
  </si>
  <si>
    <t>ASL: 1000</t>
  </si>
  <si>
    <t>PmADR: 1000</t>
  </si>
  <si>
    <t>PdMDRs: 1001</t>
  </si>
  <si>
    <t>PmMDR: 1001</t>
  </si>
  <si>
    <t>A(1)BVI: 1001</t>
  </si>
  <si>
    <t>PdIR [7…0]s: 1010</t>
  </si>
  <si>
    <t>PdIR [7…0]d: 1010</t>
  </si>
  <si>
    <t>LSR: 1010</t>
  </si>
  <si>
    <t>A(0)BVI: 1010</t>
  </si>
  <si>
    <t>Pd0s: 1011</t>
  </si>
  <si>
    <t>Pd0d: 1011</t>
  </si>
  <si>
    <t>ROL: 1011</t>
  </si>
  <si>
    <t>A(0)BPO: 1011</t>
  </si>
  <si>
    <t>Pd-1s: 1100</t>
  </si>
  <si>
    <t>Pd-1d: 1100</t>
  </si>
  <si>
    <t>ROR: 1100</t>
  </si>
  <si>
    <t>INTA,-2SP: 1100</t>
  </si>
  <si>
    <t>RLC: 1101</t>
  </si>
  <si>
    <t>A(0)BE,A(0)BI: 1101</t>
  </si>
  <si>
    <t>RRC: 1110</t>
  </si>
  <si>
    <t>PWFAIL: 0000011</t>
  </si>
  <si>
    <t>B1: 0001010</t>
  </si>
  <si>
    <t>INT: 0000100</t>
  </si>
  <si>
    <t>INT: 0000101</t>
  </si>
  <si>
    <t>0: 0000000</t>
  </si>
  <si>
    <t>IFCH: 0000000</t>
  </si>
  <si>
    <t>0110</t>
  </si>
  <si>
    <t>0000</t>
  </si>
  <si>
    <t>0001</t>
  </si>
  <si>
    <t>1000</t>
  </si>
  <si>
    <t>0011</t>
  </si>
  <si>
    <t>010</t>
  </si>
  <si>
    <t>000</t>
  </si>
  <si>
    <t>0</t>
  </si>
  <si>
    <t>0000011</t>
  </si>
  <si>
    <t>FOS_AM: 0001110</t>
  </si>
  <si>
    <t>FOD_AM_B2: 0011001</t>
  </si>
  <si>
    <t>BEQ: 0111000</t>
  </si>
  <si>
    <t>CLC: 1011010</t>
  </si>
  <si>
    <t>FOSEND: 0010011</t>
  </si>
  <si>
    <t>FOD_AM_B1: 0010100</t>
  </si>
  <si>
    <t>FOD_AD_B1: 0010101</t>
  </si>
  <si>
    <t>ILLEGAL: 0000010</t>
  </si>
  <si>
    <t>MOV: 0011110</t>
  </si>
  <si>
    <t>CLR: 0100101</t>
  </si>
  <si>
    <t>WRD: 0110100</t>
  </si>
  <si>
    <t>PdTsNeg: 0101</t>
  </si>
  <si>
    <t>PdCONDlog: 1000</t>
  </si>
  <si>
    <t>Cin,PdCONDaritm: 0111</t>
  </si>
  <si>
    <t>SUM: 0011</t>
  </si>
  <si>
    <t>PdPCd: 0101</t>
  </si>
  <si>
    <t>PdIVRd: 0110</t>
  </si>
  <si>
    <t>PdADRd: 0111</t>
  </si>
  <si>
    <t>PdMDRd: 1000</t>
  </si>
  <si>
    <t>PdMDRdNeg: 1001</t>
  </si>
  <si>
    <t>PdCONDaritm: 0110</t>
  </si>
  <si>
    <t>IF ACLOW JUMPI: 010</t>
  </si>
  <si>
    <t>IF CIL JUMPI: 011</t>
  </si>
  <si>
    <t>IF C JUMPI: 100</t>
  </si>
  <si>
    <t>IF Z JUMPI: 101</t>
  </si>
  <si>
    <t>IF S JUMPI: 110</t>
  </si>
  <si>
    <t>IF V JUMPI: 111</t>
  </si>
  <si>
    <t>JMP_AM: 1010100</t>
  </si>
  <si>
    <t>CALL_AM: 1001011</t>
  </si>
  <si>
    <t>CALL_2: 1010000</t>
  </si>
  <si>
    <t>CALL_3: 1010001</t>
  </si>
  <si>
    <t>JMP_AM_2: 1011001</t>
  </si>
  <si>
    <t>ASR: 1001</t>
  </si>
  <si>
    <t>MIR 35 … 32</t>
  </si>
  <si>
    <t>MIR 31 … 28</t>
  </si>
  <si>
    <t>MIR 27 … 24</t>
  </si>
  <si>
    <t>MIR 23 … 20</t>
  </si>
  <si>
    <t>MIR 19 … 18</t>
  </si>
  <si>
    <t>MIR 17 … 14</t>
  </si>
  <si>
    <t>MIR 13 … 11</t>
  </si>
  <si>
    <t>MIR 10 … 8</t>
  </si>
  <si>
    <t>MIR 7</t>
  </si>
  <si>
    <t>MIR 6 … 0</t>
  </si>
  <si>
    <t>IFCH_1:</t>
  </si>
  <si>
    <t>INT_z:</t>
  </si>
  <si>
    <t>FOS_AX_z:</t>
  </si>
  <si>
    <t>FOD_AX_B1_z:</t>
  </si>
  <si>
    <t>FOD_AX_B2_z:</t>
  </si>
  <si>
    <t>POP_z:</t>
  </si>
  <si>
    <t>WRD_z:</t>
  </si>
  <si>
    <t>BEQ_z:</t>
  </si>
  <si>
    <t>BNE_z</t>
  </si>
  <si>
    <t>BMI_z:</t>
  </si>
  <si>
    <t>BPL_z:</t>
  </si>
  <si>
    <t>BCS_z:</t>
  </si>
  <si>
    <t>BCC_z:</t>
  </si>
  <si>
    <t>BVS_z:</t>
  </si>
  <si>
    <t>BVC_z:</t>
  </si>
  <si>
    <t>JMP_z:</t>
  </si>
  <si>
    <t>CALL_AX_z:</t>
  </si>
  <si>
    <t>CALL_3_z:</t>
  </si>
  <si>
    <t>JMP_AX_z:</t>
  </si>
  <si>
    <t>CLC_z:</t>
  </si>
  <si>
    <t>SEC_z:</t>
  </si>
  <si>
    <t>RET_z:</t>
  </si>
  <si>
    <t>IRET_z:</t>
  </si>
  <si>
    <t>POP PC_z:</t>
  </si>
  <si>
    <t>PUSH FLAG_z:</t>
  </si>
  <si>
    <t>POP FLAG_z:</t>
  </si>
  <si>
    <t>PUSH PC_z: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</si>
</sst>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0" fontId="2" fillId="0" borderId="0" xfId="0" applyFont="1"/>
    <xf numFmtId="0" fontId="2" fillId="0" borderId="1" xfId="0" applyFont="1" applyBorder="1" applyAlignment="1">
      <alignment shrinkToFit="1"/>
    </xf>
    <xf numFmtId="0" fontId="2" fillId="2" borderId="1" xfId="0" applyFont="1" applyFill="1" applyBorder="1" applyAlignment="1">
      <alignment shrinkToFit="1"/>
    </xf>
    <xf numFmtId="0" fontId="2" fillId="2" borderId="1" xfId="0" applyFont="1" applyFill="1" applyBorder="1" applyAlignment="1">
      <alignment wrapText="1" shrinkToFit="1"/>
    </xf>
    <xf numFmtId="0" fontId="2" fillId="0" borderId="1" xfId="0" applyFont="1" applyBorder="1" applyAlignment="1">
      <alignment wrapText="1" shrinkToFit="1"/>
    </xf>
    <xf numFmtId="0" fontId="2" fillId="2" borderId="1" xfId="0" applyFont="1" applyFill="1" applyBorder="1" applyAlignment="1">
      <alignment wrapText="1"/>
    </xf>
    <xf numFmtId="0" fontId="2" fillId="0" borderId="0" xfId="0" applyFont="1" applyAlignment="1">
      <alignment shrinkToFit="1"/>
    </xf>
    <xf numFmtId="0" fontId="2" fillId="0" borderId="1" xfId="0" applyFont="1" applyBorder="1" applyAlignment="1">
      <alignment horizontal="right" shrinkToFit="1"/>
    </xf>
    <xf numFmtId="0" fontId="2" fillId="0" borderId="1" xfId="0" quotePrefix="1" applyFont="1" applyBorder="1" applyAlignment="1">
      <alignment shrinkToFi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shrinkToFit="1"/>
    </xf>
    <xf numFmtId="0" fontId="2" fillId="0" borderId="1" xfId="0" applyFont="1" applyBorder="1" applyAlignment="1">
      <alignment horizontal="center" wrapText="1" shrinkToFit="1"/>
    </xf>
    <xf numFmtId="49" fontId="2" fillId="0" borderId="0" xfId="0" applyNumberFormat="1" applyFont="1" applyAlignment="1">
      <alignment shrinkToFit="1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shrinkToFit="1"/>
    </xf>
    <xf numFmtId="0" fontId="2" fillId="0" borderId="2" xfId="0" applyFont="1" applyBorder="1"/>
    <xf numFmtId="0" fontId="2" fillId="0" borderId="2" xfId="0" applyFont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0" fontId="2" fillId="4" borderId="0" xfId="0" applyFont="1" applyFill="1"/>
    <xf numFmtId="0" fontId="2" fillId="4" borderId="1" xfId="0" applyFont="1" applyFill="1" applyBorder="1" applyAlignment="1">
      <alignment horizontal="right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A931B-CDAF-4042-86CA-3A21F11A49B5}">
  <dimension ref="A1:M18"/>
  <sheetViews>
    <sheetView zoomScale="85" zoomScaleNormal="85" workbookViewId="0">
      <selection activeCell="C12" sqref="C12"/>
    </sheetView>
  </sheetViews>
  <sheetFormatPr defaultRowHeight="15.6" x14ac:dyDescent="0.3"/>
  <cols>
    <col min="1" max="1" width="28.44140625" style="3" bestFit="1" customWidth="1"/>
    <col min="2" max="2" width="25.44140625" style="3" bestFit="1" customWidth="1"/>
    <col min="3" max="3" width="17.33203125" style="3" bestFit="1" customWidth="1"/>
    <col min="4" max="4" width="17.44140625" style="3" bestFit="1" customWidth="1"/>
    <col min="5" max="5" width="13" style="3" bestFit="1" customWidth="1"/>
    <col min="6" max="6" width="19.5546875" style="3" bestFit="1" customWidth="1"/>
    <col min="7" max="7" width="19.6640625" style="3" bestFit="1" customWidth="1"/>
    <col min="8" max="8" width="23.21875" style="3" bestFit="1" customWidth="1"/>
    <col min="9" max="9" width="20.44140625" style="3" bestFit="1" customWidth="1"/>
    <col min="10" max="10" width="14.44140625" style="3" bestFit="1" customWidth="1"/>
    <col min="11" max="11" width="16" style="3" bestFit="1" customWidth="1"/>
    <col min="12" max="12" width="18.88671875" style="3" bestFit="1" customWidth="1"/>
    <col min="13" max="13" width="11.6640625" style="3" bestFit="1" customWidth="1"/>
    <col min="14" max="16384" width="8.88671875" style="3"/>
  </cols>
  <sheetData>
    <row r="1" spans="1:13" x14ac:dyDescent="0.3">
      <c r="A1" s="1"/>
      <c r="B1" s="1"/>
      <c r="C1" s="2" t="s">
        <v>88</v>
      </c>
      <c r="D1" s="1" t="s">
        <v>89</v>
      </c>
      <c r="E1" s="2" t="s">
        <v>90</v>
      </c>
      <c r="F1" s="1" t="s">
        <v>91</v>
      </c>
      <c r="G1" s="2" t="s">
        <v>92</v>
      </c>
      <c r="H1" s="1" t="s">
        <v>93</v>
      </c>
      <c r="I1" s="2" t="s">
        <v>94</v>
      </c>
      <c r="J1" s="1" t="s">
        <v>95</v>
      </c>
      <c r="K1" s="2">
        <v>7</v>
      </c>
      <c r="L1" s="1" t="s">
        <v>96</v>
      </c>
      <c r="M1" s="3" t="s">
        <v>97</v>
      </c>
    </row>
    <row r="2" spans="1:13" s="9" customFormat="1" ht="18" customHeight="1" x14ac:dyDescent="0.3">
      <c r="A2" s="4" t="s">
        <v>100</v>
      </c>
      <c r="B2" s="4" t="s">
        <v>99</v>
      </c>
      <c r="C2" s="5" t="s">
        <v>0</v>
      </c>
      <c r="D2" s="4" t="s">
        <v>1</v>
      </c>
      <c r="E2" s="5" t="s">
        <v>2</v>
      </c>
      <c r="F2" s="4" t="s">
        <v>3</v>
      </c>
      <c r="G2" s="6" t="s">
        <v>4</v>
      </c>
      <c r="H2" s="4" t="s">
        <v>5</v>
      </c>
      <c r="I2" s="5" t="s">
        <v>6</v>
      </c>
      <c r="J2" s="7" t="s">
        <v>7</v>
      </c>
      <c r="K2" s="8" t="s">
        <v>98</v>
      </c>
      <c r="L2" s="4" t="s">
        <v>8</v>
      </c>
    </row>
    <row r="3" spans="1:13" s="9" customFormat="1" ht="18" customHeight="1" x14ac:dyDescent="0.3">
      <c r="A3" s="10">
        <v>0</v>
      </c>
      <c r="B3" s="10" t="str">
        <f>DEC2HEX(A3)</f>
        <v>0</v>
      </c>
      <c r="C3" s="4" t="s">
        <v>103</v>
      </c>
      <c r="D3" s="4" t="s">
        <v>103</v>
      </c>
      <c r="E3" s="4" t="s">
        <v>103</v>
      </c>
      <c r="F3" s="4" t="s">
        <v>103</v>
      </c>
      <c r="G3" s="4" t="s">
        <v>104</v>
      </c>
      <c r="H3" s="4" t="s">
        <v>103</v>
      </c>
      <c r="I3" s="4" t="s">
        <v>105</v>
      </c>
      <c r="J3" s="7" t="s">
        <v>106</v>
      </c>
      <c r="K3" s="4" t="s">
        <v>107</v>
      </c>
      <c r="L3" s="4"/>
    </row>
    <row r="4" spans="1:13" s="9" customFormat="1" ht="18" customHeight="1" x14ac:dyDescent="0.3">
      <c r="A4" s="10">
        <v>1</v>
      </c>
      <c r="B4" s="10" t="str">
        <f t="shared" ref="B4:B18" si="0">DEC2HEX(A4)</f>
        <v>1</v>
      </c>
      <c r="C4" s="4" t="s">
        <v>108</v>
      </c>
      <c r="D4" s="4" t="s">
        <v>109</v>
      </c>
      <c r="E4" s="4" t="s">
        <v>110</v>
      </c>
      <c r="F4" s="4" t="s">
        <v>111</v>
      </c>
      <c r="G4" s="7" t="s">
        <v>112</v>
      </c>
      <c r="H4" s="11" t="s">
        <v>113</v>
      </c>
      <c r="I4" s="4" t="s">
        <v>114</v>
      </c>
      <c r="J4" s="7" t="s">
        <v>115</v>
      </c>
      <c r="K4" s="4" t="s">
        <v>116</v>
      </c>
      <c r="L4" s="4"/>
    </row>
    <row r="5" spans="1:13" s="9" customFormat="1" ht="18" customHeight="1" x14ac:dyDescent="0.3">
      <c r="A5" s="10">
        <v>2</v>
      </c>
      <c r="B5" s="10" t="str">
        <f t="shared" si="0"/>
        <v>2</v>
      </c>
      <c r="C5" s="4" t="s">
        <v>117</v>
      </c>
      <c r="D5" s="4" t="s">
        <v>118</v>
      </c>
      <c r="E5" s="4" t="s">
        <v>119</v>
      </c>
      <c r="F5" s="4" t="s">
        <v>120</v>
      </c>
      <c r="G5" s="7" t="s">
        <v>121</v>
      </c>
      <c r="H5" s="11" t="s">
        <v>122</v>
      </c>
      <c r="I5" s="4" t="s">
        <v>207</v>
      </c>
      <c r="J5" s="7" t="s">
        <v>123</v>
      </c>
      <c r="K5" s="4" t="s">
        <v>9</v>
      </c>
      <c r="L5" s="4"/>
    </row>
    <row r="6" spans="1:13" s="9" customFormat="1" ht="18" customHeight="1" x14ac:dyDescent="0.3">
      <c r="A6" s="10">
        <v>3</v>
      </c>
      <c r="B6" s="10" t="str">
        <f t="shared" si="0"/>
        <v>3</v>
      </c>
      <c r="C6" s="4" t="s">
        <v>124</v>
      </c>
      <c r="D6" s="4" t="s">
        <v>125</v>
      </c>
      <c r="E6" s="4" t="s">
        <v>200</v>
      </c>
      <c r="F6" s="4" t="s">
        <v>126</v>
      </c>
      <c r="G6" s="7" t="s">
        <v>127</v>
      </c>
      <c r="H6" s="11" t="s">
        <v>128</v>
      </c>
      <c r="I6" s="4" t="s">
        <v>208</v>
      </c>
      <c r="J6" s="7" t="s">
        <v>129</v>
      </c>
      <c r="K6" s="4" t="s">
        <v>9</v>
      </c>
      <c r="L6" s="4"/>
    </row>
    <row r="7" spans="1:13" s="9" customFormat="1" ht="18" customHeight="1" x14ac:dyDescent="0.3">
      <c r="A7" s="10">
        <v>4</v>
      </c>
      <c r="B7" s="10" t="str">
        <f t="shared" si="0"/>
        <v>4</v>
      </c>
      <c r="C7" s="4" t="s">
        <v>130</v>
      </c>
      <c r="D7" s="4" t="s">
        <v>131</v>
      </c>
      <c r="E7" s="4" t="s">
        <v>132</v>
      </c>
      <c r="F7" s="4" t="s">
        <v>133</v>
      </c>
      <c r="G7" s="7" t="s">
        <v>9</v>
      </c>
      <c r="H7" s="4" t="s">
        <v>134</v>
      </c>
      <c r="I7" s="4" t="s">
        <v>209</v>
      </c>
      <c r="J7" s="7" t="s">
        <v>135</v>
      </c>
      <c r="K7" s="4" t="s">
        <v>9</v>
      </c>
      <c r="L7" s="4"/>
    </row>
    <row r="8" spans="1:13" s="9" customFormat="1" ht="18" customHeight="1" x14ac:dyDescent="0.3">
      <c r="A8" s="10">
        <v>5</v>
      </c>
      <c r="B8" s="10" t="str">
        <f t="shared" si="0"/>
        <v>5</v>
      </c>
      <c r="C8" s="4" t="s">
        <v>197</v>
      </c>
      <c r="D8" s="4" t="s">
        <v>201</v>
      </c>
      <c r="E8" s="4" t="s">
        <v>137</v>
      </c>
      <c r="F8" s="4" t="s">
        <v>138</v>
      </c>
      <c r="G8" s="7" t="s">
        <v>9</v>
      </c>
      <c r="H8" s="4" t="s">
        <v>139</v>
      </c>
      <c r="I8" s="4" t="s">
        <v>210</v>
      </c>
      <c r="J8" s="7" t="s">
        <v>140</v>
      </c>
      <c r="K8" s="4" t="s">
        <v>9</v>
      </c>
      <c r="L8" s="4"/>
    </row>
    <row r="9" spans="1:13" s="9" customFormat="1" ht="18" customHeight="1" x14ac:dyDescent="0.3">
      <c r="A9" s="10">
        <v>6</v>
      </c>
      <c r="B9" s="10" t="str">
        <f t="shared" si="0"/>
        <v>6</v>
      </c>
      <c r="C9" s="4" t="s">
        <v>141</v>
      </c>
      <c r="D9" s="4" t="s">
        <v>202</v>
      </c>
      <c r="E9" s="4" t="s">
        <v>143</v>
      </c>
      <c r="F9" s="4" t="s">
        <v>144</v>
      </c>
      <c r="G9" s="7" t="s">
        <v>9</v>
      </c>
      <c r="H9" s="4" t="s">
        <v>206</v>
      </c>
      <c r="I9" s="4" t="s">
        <v>211</v>
      </c>
      <c r="J9" s="7" t="s">
        <v>145</v>
      </c>
      <c r="K9" s="4" t="s">
        <v>9</v>
      </c>
      <c r="L9" s="4"/>
    </row>
    <row r="10" spans="1:13" s="9" customFormat="1" ht="18" customHeight="1" x14ac:dyDescent="0.3">
      <c r="A10" s="10">
        <v>7</v>
      </c>
      <c r="B10" s="10" t="str">
        <f t="shared" si="0"/>
        <v>7</v>
      </c>
      <c r="C10" s="4" t="s">
        <v>146</v>
      </c>
      <c r="D10" s="4" t="s">
        <v>203</v>
      </c>
      <c r="E10" s="4" t="s">
        <v>147</v>
      </c>
      <c r="F10" s="4" t="s">
        <v>148</v>
      </c>
      <c r="G10" s="7" t="s">
        <v>9</v>
      </c>
      <c r="H10" s="4" t="s">
        <v>199</v>
      </c>
      <c r="I10" s="4" t="s">
        <v>212</v>
      </c>
      <c r="J10" s="7" t="s">
        <v>149</v>
      </c>
      <c r="K10" s="4" t="s">
        <v>9</v>
      </c>
      <c r="L10" s="4"/>
    </row>
    <row r="11" spans="1:13" s="9" customFormat="1" x14ac:dyDescent="0.3">
      <c r="A11" s="10">
        <v>8</v>
      </c>
      <c r="B11" s="10" t="str">
        <f t="shared" si="0"/>
        <v>8</v>
      </c>
      <c r="C11" s="4" t="s">
        <v>150</v>
      </c>
      <c r="D11" s="4" t="s">
        <v>204</v>
      </c>
      <c r="E11" s="4" t="s">
        <v>151</v>
      </c>
      <c r="F11" s="4" t="s">
        <v>152</v>
      </c>
      <c r="G11" s="7" t="s">
        <v>9</v>
      </c>
      <c r="H11" s="4" t="s">
        <v>198</v>
      </c>
      <c r="I11" s="4" t="s">
        <v>9</v>
      </c>
      <c r="J11" s="7" t="s">
        <v>9</v>
      </c>
      <c r="K11" s="4" t="s">
        <v>9</v>
      </c>
      <c r="L11" s="4"/>
    </row>
    <row r="12" spans="1:13" s="9" customFormat="1" x14ac:dyDescent="0.3">
      <c r="A12" s="10">
        <v>9</v>
      </c>
      <c r="B12" s="10" t="str">
        <f t="shared" si="0"/>
        <v>9</v>
      </c>
      <c r="C12" s="4" t="s">
        <v>153</v>
      </c>
      <c r="D12" s="4" t="s">
        <v>205</v>
      </c>
      <c r="E12" s="4" t="s">
        <v>218</v>
      </c>
      <c r="F12" s="4" t="s">
        <v>154</v>
      </c>
      <c r="G12" s="7" t="s">
        <v>9</v>
      </c>
      <c r="H12" s="4" t="s">
        <v>155</v>
      </c>
      <c r="I12" s="4" t="s">
        <v>9</v>
      </c>
      <c r="J12" s="7" t="s">
        <v>9</v>
      </c>
      <c r="K12" s="4" t="s">
        <v>9</v>
      </c>
      <c r="L12" s="4"/>
    </row>
    <row r="13" spans="1:13" s="9" customFormat="1" x14ac:dyDescent="0.3">
      <c r="A13" s="10">
        <v>10</v>
      </c>
      <c r="B13" s="10" t="str">
        <f t="shared" si="0"/>
        <v>A</v>
      </c>
      <c r="C13" s="4" t="s">
        <v>156</v>
      </c>
      <c r="D13" s="4" t="s">
        <v>157</v>
      </c>
      <c r="E13" s="4" t="s">
        <v>158</v>
      </c>
      <c r="F13" s="4" t="s">
        <v>9</v>
      </c>
      <c r="G13" s="7" t="s">
        <v>9</v>
      </c>
      <c r="H13" s="4" t="s">
        <v>159</v>
      </c>
      <c r="I13" s="4" t="s">
        <v>9</v>
      </c>
      <c r="J13" s="7" t="s">
        <v>9</v>
      </c>
      <c r="K13" s="4" t="s">
        <v>9</v>
      </c>
      <c r="L13" s="4"/>
    </row>
    <row r="14" spans="1:13" s="9" customFormat="1" x14ac:dyDescent="0.3">
      <c r="A14" s="10">
        <v>11</v>
      </c>
      <c r="B14" s="10" t="str">
        <f t="shared" si="0"/>
        <v>B</v>
      </c>
      <c r="C14" s="4" t="s">
        <v>160</v>
      </c>
      <c r="D14" s="4" t="s">
        <v>161</v>
      </c>
      <c r="E14" s="4" t="s">
        <v>162</v>
      </c>
      <c r="F14" s="4" t="s">
        <v>9</v>
      </c>
      <c r="G14" s="7" t="s">
        <v>9</v>
      </c>
      <c r="H14" s="4" t="s">
        <v>163</v>
      </c>
      <c r="I14" s="4" t="s">
        <v>9</v>
      </c>
      <c r="J14" s="7" t="s">
        <v>9</v>
      </c>
      <c r="K14" s="4" t="s">
        <v>9</v>
      </c>
      <c r="L14" s="4"/>
    </row>
    <row r="15" spans="1:13" s="9" customFormat="1" x14ac:dyDescent="0.3">
      <c r="A15" s="10">
        <v>12</v>
      </c>
      <c r="B15" s="10" t="str">
        <f t="shared" si="0"/>
        <v>C</v>
      </c>
      <c r="C15" s="4" t="s">
        <v>164</v>
      </c>
      <c r="D15" s="4" t="s">
        <v>165</v>
      </c>
      <c r="E15" s="4" t="s">
        <v>166</v>
      </c>
      <c r="F15" s="4" t="s">
        <v>9</v>
      </c>
      <c r="G15" s="7" t="s">
        <v>9</v>
      </c>
      <c r="H15" s="4" t="s">
        <v>167</v>
      </c>
      <c r="I15" s="4" t="s">
        <v>9</v>
      </c>
      <c r="J15" s="7" t="s">
        <v>9</v>
      </c>
      <c r="K15" s="4" t="s">
        <v>9</v>
      </c>
      <c r="L15" s="4"/>
    </row>
    <row r="16" spans="1:13" s="9" customFormat="1" x14ac:dyDescent="0.3">
      <c r="A16" s="10">
        <v>13</v>
      </c>
      <c r="B16" s="10" t="str">
        <f t="shared" si="0"/>
        <v>D</v>
      </c>
      <c r="C16" s="4" t="s">
        <v>9</v>
      </c>
      <c r="D16" s="4" t="s">
        <v>9</v>
      </c>
      <c r="E16" s="4" t="s">
        <v>168</v>
      </c>
      <c r="F16" s="4" t="s">
        <v>9</v>
      </c>
      <c r="G16" s="7" t="s">
        <v>9</v>
      </c>
      <c r="H16" s="4" t="s">
        <v>169</v>
      </c>
      <c r="I16" s="4" t="s">
        <v>9</v>
      </c>
      <c r="J16" s="7" t="s">
        <v>9</v>
      </c>
      <c r="K16" s="4" t="s">
        <v>9</v>
      </c>
      <c r="L16" s="4"/>
    </row>
    <row r="17" spans="1:12" s="9" customFormat="1" x14ac:dyDescent="0.3">
      <c r="A17" s="10">
        <v>14</v>
      </c>
      <c r="B17" s="10" t="str">
        <f t="shared" si="0"/>
        <v>E</v>
      </c>
      <c r="C17" s="4" t="s">
        <v>9</v>
      </c>
      <c r="D17" s="4" t="s">
        <v>9</v>
      </c>
      <c r="E17" s="4" t="s">
        <v>170</v>
      </c>
      <c r="F17" s="4" t="s">
        <v>9</v>
      </c>
      <c r="G17" s="7" t="s">
        <v>9</v>
      </c>
      <c r="H17" s="4" t="s">
        <v>9</v>
      </c>
      <c r="I17" s="4" t="s">
        <v>9</v>
      </c>
      <c r="J17" s="7" t="s">
        <v>9</v>
      </c>
      <c r="K17" s="4" t="s">
        <v>9</v>
      </c>
      <c r="L17" s="4"/>
    </row>
    <row r="18" spans="1:12" s="9" customFormat="1" x14ac:dyDescent="0.3">
      <c r="A18" s="10">
        <v>15</v>
      </c>
      <c r="B18" s="10" t="str">
        <f t="shared" si="0"/>
        <v>F</v>
      </c>
      <c r="C18" s="4" t="s">
        <v>9</v>
      </c>
      <c r="D18" s="4" t="s">
        <v>9</v>
      </c>
      <c r="E18" s="4" t="s">
        <v>9</v>
      </c>
      <c r="F18" s="4" t="s">
        <v>9</v>
      </c>
      <c r="G18" s="7" t="s">
        <v>9</v>
      </c>
      <c r="H18" s="4" t="s">
        <v>9</v>
      </c>
      <c r="I18" s="4" t="s">
        <v>9</v>
      </c>
      <c r="J18" s="7" t="s">
        <v>9</v>
      </c>
      <c r="K18" s="4" t="s">
        <v>9</v>
      </c>
      <c r="L18" s="4"/>
    </row>
  </sheetData>
  <phoneticPr fontId="1" type="noConversion"/>
  <pageMargins left="0.7" right="0.7" top="0.75" bottom="0.75" header="0.3" footer="0.3"/>
  <headerFooter>
    <oddFooter>&amp;C_x000D_&amp;1#&amp;"Arial"&amp;8&amp;K000000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59C3-EA07-4BFC-A86B-03CEB3074DC8}">
  <dimension ref="A1:Y118"/>
  <sheetViews>
    <sheetView tabSelected="1" zoomScale="85" zoomScaleNormal="85" workbookViewId="0">
      <pane ySplit="1" topLeftCell="A29" activePane="bottomLeft" state="frozen"/>
      <selection pane="bottomLeft" activeCell="F34" sqref="F34"/>
    </sheetView>
  </sheetViews>
  <sheetFormatPr defaultRowHeight="15.6" x14ac:dyDescent="0.3"/>
  <cols>
    <col min="1" max="1" width="14.109375" style="3" bestFit="1" customWidth="1"/>
    <col min="2" max="2" width="20.21875" style="3" hidden="1" customWidth="1"/>
    <col min="3" max="3" width="15" style="3" customWidth="1"/>
    <col min="4" max="4" width="20.109375" style="3" customWidth="1"/>
    <col min="5" max="5" width="16.88671875" style="3" bestFit="1" customWidth="1"/>
    <col min="6" max="6" width="18.5546875" style="3" bestFit="1" customWidth="1"/>
    <col min="7" max="7" width="18.44140625" style="3" bestFit="1" customWidth="1"/>
    <col min="8" max="8" width="21.5546875" style="3" bestFit="1" customWidth="1"/>
    <col min="9" max="9" width="16.21875" style="3" bestFit="1" customWidth="1"/>
    <col min="10" max="10" width="24" style="3" bestFit="1" customWidth="1"/>
    <col min="11" max="11" width="20.77734375" style="3" bestFit="1" customWidth="1"/>
    <col min="12" max="12" width="13.77734375" style="3" bestFit="1" customWidth="1"/>
    <col min="13" max="13" width="14.33203125" style="3" customWidth="1"/>
    <col min="14" max="14" width="24.44140625" style="3" bestFit="1" customWidth="1"/>
    <col min="15" max="15" width="16.88671875" style="3" hidden="1" customWidth="1"/>
    <col min="16" max="16" width="11.77734375" style="3" hidden="1" customWidth="1"/>
    <col min="17" max="17" width="18.44140625" style="3" hidden="1" customWidth="1"/>
    <col min="18" max="18" width="15.6640625" style="3" hidden="1" customWidth="1"/>
    <col min="19" max="19" width="16.21875" style="3" hidden="1" customWidth="1"/>
    <col min="20" max="20" width="17.44140625" style="3" hidden="1" customWidth="1"/>
    <col min="21" max="21" width="14.88671875" style="3" hidden="1" customWidth="1"/>
    <col min="22" max="22" width="13.77734375" style="3" hidden="1" customWidth="1"/>
    <col min="23" max="23" width="13.21875" style="3" hidden="1" customWidth="1"/>
    <col min="24" max="24" width="17.6640625" style="3" hidden="1" customWidth="1"/>
    <col min="25" max="25" width="43.5546875" style="3" hidden="1" customWidth="1"/>
    <col min="26" max="16384" width="8.88671875" style="3"/>
  </cols>
  <sheetData>
    <row r="1" spans="1:25" s="15" customFormat="1" ht="57.6" customHeight="1" x14ac:dyDescent="0.3">
      <c r="A1" s="12" t="s">
        <v>10</v>
      </c>
      <c r="B1" s="12" t="s">
        <v>13</v>
      </c>
      <c r="C1" s="24" t="s">
        <v>12</v>
      </c>
      <c r="D1" s="20" t="s">
        <v>102</v>
      </c>
      <c r="E1" s="13" t="s">
        <v>0</v>
      </c>
      <c r="F1" s="14" t="s">
        <v>1</v>
      </c>
      <c r="G1" s="13" t="s">
        <v>2</v>
      </c>
      <c r="H1" s="14" t="s">
        <v>3</v>
      </c>
      <c r="I1" s="13" t="s">
        <v>4</v>
      </c>
      <c r="J1" s="14" t="s">
        <v>5</v>
      </c>
      <c r="K1" s="13" t="s">
        <v>6</v>
      </c>
      <c r="L1" s="14" t="s">
        <v>7</v>
      </c>
      <c r="M1" s="8" t="s">
        <v>98</v>
      </c>
      <c r="N1" s="14" t="s">
        <v>8</v>
      </c>
      <c r="O1" s="13" t="s">
        <v>0</v>
      </c>
      <c r="P1" s="14" t="s">
        <v>1</v>
      </c>
      <c r="Q1" s="13" t="s">
        <v>2</v>
      </c>
      <c r="R1" s="14" t="s">
        <v>3</v>
      </c>
      <c r="S1" s="13" t="s">
        <v>4</v>
      </c>
      <c r="T1" s="14" t="s">
        <v>5</v>
      </c>
      <c r="U1" s="13" t="s">
        <v>6</v>
      </c>
      <c r="V1" s="14" t="s">
        <v>7</v>
      </c>
      <c r="W1" s="8" t="s">
        <v>98</v>
      </c>
      <c r="X1" s="23" t="s">
        <v>8</v>
      </c>
      <c r="Y1" s="12" t="s">
        <v>101</v>
      </c>
    </row>
    <row r="2" spans="1:25" x14ac:dyDescent="0.3">
      <c r="C2" s="25"/>
      <c r="D2" s="19"/>
      <c r="E2" s="2" t="s">
        <v>219</v>
      </c>
      <c r="F2" s="1" t="s">
        <v>220</v>
      </c>
      <c r="G2" s="2" t="s">
        <v>221</v>
      </c>
      <c r="H2" s="1" t="s">
        <v>222</v>
      </c>
      <c r="I2" s="2" t="s">
        <v>223</v>
      </c>
      <c r="J2" s="1" t="s">
        <v>224</v>
      </c>
      <c r="K2" s="2" t="s">
        <v>225</v>
      </c>
      <c r="L2" s="1" t="s">
        <v>226</v>
      </c>
      <c r="M2" s="2" t="s">
        <v>227</v>
      </c>
      <c r="N2" s="1" t="s">
        <v>228</v>
      </c>
      <c r="O2" s="2" t="s">
        <v>88</v>
      </c>
      <c r="P2" s="1" t="s">
        <v>89</v>
      </c>
      <c r="Q2" s="2" t="s">
        <v>90</v>
      </c>
      <c r="R2" s="1" t="s">
        <v>91</v>
      </c>
      <c r="S2" s="2" t="s">
        <v>92</v>
      </c>
      <c r="T2" s="1" t="s">
        <v>93</v>
      </c>
      <c r="U2" s="2" t="s">
        <v>94</v>
      </c>
      <c r="V2" s="1" t="s">
        <v>95</v>
      </c>
      <c r="W2" s="2">
        <v>7</v>
      </c>
      <c r="X2" s="22" t="s">
        <v>96</v>
      </c>
      <c r="Y2" s="1"/>
    </row>
    <row r="3" spans="1:25" s="9" customFormat="1" x14ac:dyDescent="0.3">
      <c r="A3" s="4" t="s">
        <v>11</v>
      </c>
      <c r="B3" s="4">
        <v>0</v>
      </c>
      <c r="C3" s="26" t="str">
        <f>_xlfn.CONCAT("0x",DEC2HEX(B3))</f>
        <v>0x0</v>
      </c>
      <c r="D3" s="21" t="str">
        <f t="shared" ref="D3:D34" si="0">_xlfn.CONCAT("0x",BIN2HEX(LEFT(Y3,4)),BIN2HEX(MID(Y3,5,4)), BIN2HEX(MID(Y3,9,4)), BIN2HEX(MID(Y3,13,4)), BIN2HEX(MID(Y3,17,4)), BIN2HEX(MID(Y3,21,4)), BIN2HEX(MID(Y3,25,4)), BIN2HEX(MID(Y3,29,4)), BIN2HEX(RIGHT(Y3,4)))</f>
        <v>0x60184D003</v>
      </c>
      <c r="E3" s="16" t="s">
        <v>141</v>
      </c>
      <c r="F3" s="16" t="s">
        <v>103</v>
      </c>
      <c r="G3" s="16" t="s">
        <v>110</v>
      </c>
      <c r="H3" s="16" t="s">
        <v>152</v>
      </c>
      <c r="I3" s="17" t="s">
        <v>112</v>
      </c>
      <c r="J3" s="16" t="s">
        <v>128</v>
      </c>
      <c r="K3" s="16" t="s">
        <v>207</v>
      </c>
      <c r="L3" s="17" t="s">
        <v>106</v>
      </c>
      <c r="M3" s="4" t="s">
        <v>107</v>
      </c>
      <c r="N3" s="16" t="s">
        <v>171</v>
      </c>
      <c r="O3" s="18" t="s">
        <v>177</v>
      </c>
      <c r="P3" s="18" t="s">
        <v>178</v>
      </c>
      <c r="Q3" s="18" t="s">
        <v>179</v>
      </c>
      <c r="R3" s="18" t="s">
        <v>180</v>
      </c>
      <c r="S3" s="9" t="str">
        <f>MID(I3,FIND(": ",I3)+2, 2)</f>
        <v>01</v>
      </c>
      <c r="T3" s="18" t="s">
        <v>181</v>
      </c>
      <c r="U3" s="18" t="s">
        <v>182</v>
      </c>
      <c r="V3" s="18" t="s">
        <v>183</v>
      </c>
      <c r="W3" s="18" t="s">
        <v>184</v>
      </c>
      <c r="X3" s="18" t="s">
        <v>185</v>
      </c>
      <c r="Y3" s="4" t="str">
        <f t="shared" ref="Y3:Y34" si="1">_xlfn.CONCAT(O3, P3, Q3, R3, S3, T3, U3, V3, W3, X3)</f>
        <v>011000000001100001001101000000000011</v>
      </c>
    </row>
    <row r="4" spans="1:25" s="9" customFormat="1" x14ac:dyDescent="0.3">
      <c r="A4" s="4" t="s">
        <v>229</v>
      </c>
      <c r="B4" s="4">
        <v>1</v>
      </c>
      <c r="C4" s="26" t="str">
        <f t="shared" ref="C4:C67" si="2">_xlfn.CONCAT("0x",DEC2HEX(B4))</f>
        <v>0x1</v>
      </c>
      <c r="D4" s="21" t="str">
        <f t="shared" si="0"/>
        <v>0x00000198A</v>
      </c>
      <c r="E4" s="16" t="s">
        <v>103</v>
      </c>
      <c r="F4" s="16" t="s">
        <v>103</v>
      </c>
      <c r="G4" s="16" t="s">
        <v>103</v>
      </c>
      <c r="H4" s="16" t="s">
        <v>103</v>
      </c>
      <c r="I4" s="17" t="s">
        <v>104</v>
      </c>
      <c r="J4" s="16" t="s">
        <v>103</v>
      </c>
      <c r="K4" s="16" t="s">
        <v>208</v>
      </c>
      <c r="L4" s="17" t="s">
        <v>115</v>
      </c>
      <c r="M4" s="4" t="s">
        <v>116</v>
      </c>
      <c r="N4" s="16" t="s">
        <v>172</v>
      </c>
      <c r="O4" s="9" t="str">
        <f>MID(E4,FIND(": ",E4)+2, 4)</f>
        <v>0000</v>
      </c>
      <c r="P4" s="9" t="str">
        <f t="shared" ref="P4:R4" si="3">MID(F4,FIND(": ",F4)+2, 4)</f>
        <v>0000</v>
      </c>
      <c r="Q4" s="9" t="str">
        <f t="shared" si="3"/>
        <v>0000</v>
      </c>
      <c r="R4" s="9" t="str">
        <f t="shared" si="3"/>
        <v>0000</v>
      </c>
      <c r="S4" s="9" t="str">
        <f>MID(I4,FIND(": ",I4)+2, 2)</f>
        <v>00</v>
      </c>
      <c r="T4" s="9" t="str">
        <f>MID(J4,FIND(": ",J4)+2, 4)</f>
        <v>0000</v>
      </c>
      <c r="U4" s="9" t="str">
        <f>MID(K4,FIND(": ",K4)+2, 3)</f>
        <v>011</v>
      </c>
      <c r="V4" s="9" t="str">
        <f>MID(L4,FIND(": ",L4)+2, 3)</f>
        <v>001</v>
      </c>
      <c r="W4" s="9" t="str">
        <f>MID(M4,FIND(": ",M4)+2, 1)</f>
        <v>1</v>
      </c>
      <c r="X4" s="9" t="str">
        <f>MID(N4,FIND(": ",N4)+2, 7)</f>
        <v>0001010</v>
      </c>
      <c r="Y4" s="4" t="str">
        <f t="shared" si="1"/>
        <v>000000000000000000000001100110001010</v>
      </c>
    </row>
    <row r="5" spans="1:25" s="9" customFormat="1" x14ac:dyDescent="0.3">
      <c r="A5" s="4" t="s">
        <v>14</v>
      </c>
      <c r="B5" s="4">
        <v>2</v>
      </c>
      <c r="C5" s="26" t="str">
        <f t="shared" si="2"/>
        <v>0x2</v>
      </c>
      <c r="D5" s="21" t="str">
        <f t="shared" si="0"/>
        <v>0x000014804</v>
      </c>
      <c r="E5" s="16" t="s">
        <v>103</v>
      </c>
      <c r="F5" s="16" t="s">
        <v>103</v>
      </c>
      <c r="G5" s="16" t="s">
        <v>103</v>
      </c>
      <c r="H5" s="16" t="s">
        <v>103</v>
      </c>
      <c r="I5" s="17" t="s">
        <v>104</v>
      </c>
      <c r="J5" s="16" t="s">
        <v>139</v>
      </c>
      <c r="K5" s="16" t="s">
        <v>114</v>
      </c>
      <c r="L5" s="17" t="s">
        <v>106</v>
      </c>
      <c r="M5" s="4" t="s">
        <v>107</v>
      </c>
      <c r="N5" s="16" t="s">
        <v>173</v>
      </c>
      <c r="O5" s="9" t="str">
        <f t="shared" ref="O5:O68" si="4">MID(E5,FIND(": ",E5)+2, 4)</f>
        <v>0000</v>
      </c>
      <c r="P5" s="9" t="str">
        <f t="shared" ref="P5:P68" si="5">MID(F5,FIND(": ",F5)+2, 4)</f>
        <v>0000</v>
      </c>
      <c r="Q5" s="9" t="str">
        <f t="shared" ref="Q5:Q68" si="6">MID(G5,FIND(": ",G5)+2, 4)</f>
        <v>0000</v>
      </c>
      <c r="R5" s="9" t="str">
        <f t="shared" ref="R5:R68" si="7">MID(H5,FIND(": ",H5)+2, 4)</f>
        <v>0000</v>
      </c>
      <c r="S5" s="9" t="str">
        <f t="shared" ref="S5:S68" si="8">MID(I5,FIND(": ",I5)+2, 2)</f>
        <v>00</v>
      </c>
      <c r="T5" s="9" t="str">
        <f t="shared" ref="T5:T68" si="9">MID(J5,FIND(": ",J5)+2, 4)</f>
        <v>0101</v>
      </c>
      <c r="U5" s="9" t="str">
        <f t="shared" ref="U5:U68" si="10">MID(K5,FIND(": ",K5)+2, 3)</f>
        <v>001</v>
      </c>
      <c r="V5" s="9" t="str">
        <f t="shared" ref="V5:V68" si="11">MID(L5,FIND(": ",L5)+2, 3)</f>
        <v>000</v>
      </c>
      <c r="W5" s="9" t="str">
        <f t="shared" ref="W5:W68" si="12">MID(M5,FIND(": ",M5)+2, 1)</f>
        <v>0</v>
      </c>
      <c r="X5" s="9" t="str">
        <f t="shared" ref="X5:X68" si="13">MID(N5,FIND(": ",N5)+2, 7)</f>
        <v>0000100</v>
      </c>
      <c r="Y5" s="4" t="str">
        <f t="shared" si="1"/>
        <v>000000000000000000010100100000000100</v>
      </c>
    </row>
    <row r="6" spans="1:25" s="9" customFormat="1" x14ac:dyDescent="0.3">
      <c r="A6" s="4" t="s">
        <v>15</v>
      </c>
      <c r="B6" s="4">
        <v>3</v>
      </c>
      <c r="C6" s="26" t="str">
        <f t="shared" si="2"/>
        <v>0x3</v>
      </c>
      <c r="D6" s="21" t="str">
        <f t="shared" si="0"/>
        <v>0x000010805</v>
      </c>
      <c r="E6" s="16" t="s">
        <v>103</v>
      </c>
      <c r="F6" s="16" t="s">
        <v>103</v>
      </c>
      <c r="G6" s="16" t="s">
        <v>103</v>
      </c>
      <c r="H6" s="16" t="s">
        <v>103</v>
      </c>
      <c r="I6" s="17" t="s">
        <v>104</v>
      </c>
      <c r="J6" s="16" t="s">
        <v>134</v>
      </c>
      <c r="K6" s="16" t="s">
        <v>114</v>
      </c>
      <c r="L6" s="17" t="s">
        <v>106</v>
      </c>
      <c r="M6" s="4" t="s">
        <v>107</v>
      </c>
      <c r="N6" s="16" t="s">
        <v>174</v>
      </c>
      <c r="O6" s="9" t="str">
        <f t="shared" si="4"/>
        <v>0000</v>
      </c>
      <c r="P6" s="9" t="str">
        <f t="shared" si="5"/>
        <v>0000</v>
      </c>
      <c r="Q6" s="9" t="str">
        <f t="shared" si="6"/>
        <v>0000</v>
      </c>
      <c r="R6" s="9" t="str">
        <f t="shared" si="7"/>
        <v>0000</v>
      </c>
      <c r="S6" s="9" t="str">
        <f t="shared" si="8"/>
        <v>00</v>
      </c>
      <c r="T6" s="9" t="str">
        <f t="shared" si="9"/>
        <v>0100</v>
      </c>
      <c r="U6" s="9" t="str">
        <f t="shared" si="10"/>
        <v>001</v>
      </c>
      <c r="V6" s="9" t="str">
        <f t="shared" si="11"/>
        <v>000</v>
      </c>
      <c r="W6" s="9" t="str">
        <f t="shared" si="12"/>
        <v>0</v>
      </c>
      <c r="X6" s="9" t="str">
        <f t="shared" si="13"/>
        <v>0000101</v>
      </c>
      <c r="Y6" s="4" t="str">
        <f t="shared" si="1"/>
        <v>000000000000000000010000100000000101</v>
      </c>
    </row>
    <row r="7" spans="1:25" s="9" customFormat="1" x14ac:dyDescent="0.3">
      <c r="A7" s="4" t="s">
        <v>16</v>
      </c>
      <c r="B7" s="4">
        <v>4</v>
      </c>
      <c r="C7" s="26" t="str">
        <f t="shared" si="2"/>
        <v>0x4</v>
      </c>
      <c r="D7" s="21" t="str">
        <f t="shared" si="0"/>
        <v>0x301830000</v>
      </c>
      <c r="E7" s="16" t="s">
        <v>124</v>
      </c>
      <c r="F7" s="16" t="s">
        <v>103</v>
      </c>
      <c r="G7" s="16" t="s">
        <v>110</v>
      </c>
      <c r="H7" s="16" t="s">
        <v>152</v>
      </c>
      <c r="I7" s="17" t="s">
        <v>104</v>
      </c>
      <c r="J7" s="16" t="s">
        <v>167</v>
      </c>
      <c r="K7" s="16" t="s">
        <v>105</v>
      </c>
      <c r="L7" s="17" t="s">
        <v>106</v>
      </c>
      <c r="M7" s="4" t="s">
        <v>107</v>
      </c>
      <c r="N7" s="16" t="s">
        <v>175</v>
      </c>
      <c r="O7" s="9" t="str">
        <f t="shared" si="4"/>
        <v>0011</v>
      </c>
      <c r="P7" s="9" t="str">
        <f t="shared" si="5"/>
        <v>0000</v>
      </c>
      <c r="Q7" s="9" t="str">
        <f t="shared" si="6"/>
        <v>0001</v>
      </c>
      <c r="R7" s="9" t="str">
        <f t="shared" si="7"/>
        <v>1000</v>
      </c>
      <c r="S7" s="9" t="str">
        <f t="shared" si="8"/>
        <v>00</v>
      </c>
      <c r="T7" s="9" t="str">
        <f t="shared" si="9"/>
        <v>1100</v>
      </c>
      <c r="U7" s="9" t="str">
        <f t="shared" si="10"/>
        <v>000</v>
      </c>
      <c r="V7" s="9" t="str">
        <f t="shared" si="11"/>
        <v>000</v>
      </c>
      <c r="W7" s="9" t="str">
        <f t="shared" si="12"/>
        <v>0</v>
      </c>
      <c r="X7" s="9" t="str">
        <f t="shared" si="13"/>
        <v>0000000</v>
      </c>
      <c r="Y7" s="4" t="str">
        <f t="shared" si="1"/>
        <v>001100000001100000110000000000000000</v>
      </c>
    </row>
    <row r="8" spans="1:25" s="9" customFormat="1" x14ac:dyDescent="0.3">
      <c r="A8" s="4" t="s">
        <v>230</v>
      </c>
      <c r="B8" s="4">
        <v>5</v>
      </c>
      <c r="C8" s="26" t="str">
        <f t="shared" si="2"/>
        <v>0x5</v>
      </c>
      <c r="D8" s="21" t="str">
        <f t="shared" si="0"/>
        <v>0x101908000</v>
      </c>
      <c r="E8" s="16" t="s">
        <v>108</v>
      </c>
      <c r="F8" s="16" t="s">
        <v>103</v>
      </c>
      <c r="G8" s="16" t="s">
        <v>110</v>
      </c>
      <c r="H8" s="16" t="s">
        <v>154</v>
      </c>
      <c r="I8" s="17" t="s">
        <v>104</v>
      </c>
      <c r="J8" s="16" t="s">
        <v>122</v>
      </c>
      <c r="K8" s="16" t="s">
        <v>105</v>
      </c>
      <c r="L8" s="17" t="s">
        <v>106</v>
      </c>
      <c r="M8" s="4" t="s">
        <v>107</v>
      </c>
      <c r="N8" s="16" t="s">
        <v>175</v>
      </c>
      <c r="O8" s="9" t="str">
        <f t="shared" si="4"/>
        <v>0001</v>
      </c>
      <c r="P8" s="9" t="str">
        <f t="shared" si="5"/>
        <v>0000</v>
      </c>
      <c r="Q8" s="9" t="str">
        <f t="shared" si="6"/>
        <v>0001</v>
      </c>
      <c r="R8" s="9" t="str">
        <f t="shared" si="7"/>
        <v>1001</v>
      </c>
      <c r="S8" s="9" t="str">
        <f t="shared" si="8"/>
        <v>00</v>
      </c>
      <c r="T8" s="9" t="str">
        <f t="shared" si="9"/>
        <v>0010</v>
      </c>
      <c r="U8" s="9" t="str">
        <f t="shared" si="10"/>
        <v>000</v>
      </c>
      <c r="V8" s="9" t="str">
        <f t="shared" si="11"/>
        <v>000</v>
      </c>
      <c r="W8" s="9" t="str">
        <f t="shared" si="12"/>
        <v>0</v>
      </c>
      <c r="X8" s="9" t="str">
        <f t="shared" si="13"/>
        <v>0000000</v>
      </c>
      <c r="Y8" s="4" t="str">
        <f t="shared" si="1"/>
        <v>000100000001100100001000000000000000</v>
      </c>
    </row>
    <row r="9" spans="1:25" s="9" customFormat="1" x14ac:dyDescent="0.3">
      <c r="A9" s="4" t="s">
        <v>230</v>
      </c>
      <c r="B9" s="4">
        <v>6</v>
      </c>
      <c r="C9" s="26" t="str">
        <f t="shared" si="2"/>
        <v>0x6</v>
      </c>
      <c r="D9" s="21" t="str">
        <f t="shared" si="0"/>
        <v>0x301800000</v>
      </c>
      <c r="E9" s="16" t="s">
        <v>124</v>
      </c>
      <c r="F9" s="16" t="s">
        <v>103</v>
      </c>
      <c r="G9" s="16" t="s">
        <v>110</v>
      </c>
      <c r="H9" s="16" t="s">
        <v>152</v>
      </c>
      <c r="I9" s="17" t="s">
        <v>104</v>
      </c>
      <c r="J9" s="16" t="s">
        <v>103</v>
      </c>
      <c r="K9" s="16" t="s">
        <v>105</v>
      </c>
      <c r="L9" s="17" t="s">
        <v>106</v>
      </c>
      <c r="M9" s="4" t="s">
        <v>107</v>
      </c>
      <c r="N9" s="16" t="s">
        <v>175</v>
      </c>
      <c r="O9" s="9" t="str">
        <f t="shared" si="4"/>
        <v>0011</v>
      </c>
      <c r="P9" s="9" t="str">
        <f t="shared" si="5"/>
        <v>0000</v>
      </c>
      <c r="Q9" s="9" t="str">
        <f t="shared" si="6"/>
        <v>0001</v>
      </c>
      <c r="R9" s="9" t="str">
        <f t="shared" si="7"/>
        <v>1000</v>
      </c>
      <c r="S9" s="9" t="str">
        <f t="shared" si="8"/>
        <v>00</v>
      </c>
      <c r="T9" s="9" t="str">
        <f t="shared" si="9"/>
        <v>0000</v>
      </c>
      <c r="U9" s="9" t="str">
        <f t="shared" si="10"/>
        <v>000</v>
      </c>
      <c r="V9" s="9" t="str">
        <f t="shared" si="11"/>
        <v>000</v>
      </c>
      <c r="W9" s="9" t="str">
        <f t="shared" si="12"/>
        <v>0</v>
      </c>
      <c r="X9" s="9" t="str">
        <f t="shared" si="13"/>
        <v>0000000</v>
      </c>
      <c r="Y9" s="4" t="str">
        <f t="shared" si="1"/>
        <v>001100000001100000000000000000000000</v>
      </c>
    </row>
    <row r="10" spans="1:25" s="9" customFormat="1" x14ac:dyDescent="0.3">
      <c r="A10" s="4" t="s">
        <v>230</v>
      </c>
      <c r="B10" s="4">
        <v>7</v>
      </c>
      <c r="C10" s="26" t="str">
        <f t="shared" si="2"/>
        <v>0x7</v>
      </c>
      <c r="D10" s="21" t="str">
        <f t="shared" si="0"/>
        <v>0x6019C0000</v>
      </c>
      <c r="E10" s="16" t="s">
        <v>141</v>
      </c>
      <c r="F10" s="16" t="s">
        <v>103</v>
      </c>
      <c r="G10" s="16" t="s">
        <v>110</v>
      </c>
      <c r="H10" s="16" t="s">
        <v>154</v>
      </c>
      <c r="I10" s="17" t="s">
        <v>127</v>
      </c>
      <c r="J10" s="16" t="s">
        <v>103</v>
      </c>
      <c r="K10" s="16" t="s">
        <v>105</v>
      </c>
      <c r="L10" s="17" t="s">
        <v>106</v>
      </c>
      <c r="M10" s="4" t="s">
        <v>107</v>
      </c>
      <c r="N10" s="16" t="s">
        <v>175</v>
      </c>
      <c r="O10" s="9" t="str">
        <f t="shared" si="4"/>
        <v>0110</v>
      </c>
      <c r="P10" s="9" t="str">
        <f t="shared" si="5"/>
        <v>0000</v>
      </c>
      <c r="Q10" s="9" t="str">
        <f t="shared" si="6"/>
        <v>0001</v>
      </c>
      <c r="R10" s="9" t="str">
        <f t="shared" si="7"/>
        <v>1001</v>
      </c>
      <c r="S10" s="9" t="str">
        <f t="shared" si="8"/>
        <v>11</v>
      </c>
      <c r="T10" s="9" t="str">
        <f t="shared" si="9"/>
        <v>0000</v>
      </c>
      <c r="U10" s="9" t="str">
        <f t="shared" si="10"/>
        <v>000</v>
      </c>
      <c r="V10" s="9" t="str">
        <f t="shared" si="11"/>
        <v>000</v>
      </c>
      <c r="W10" s="9" t="str">
        <f t="shared" si="12"/>
        <v>0</v>
      </c>
      <c r="X10" s="9" t="str">
        <f t="shared" si="13"/>
        <v>0000000</v>
      </c>
      <c r="Y10" s="4" t="str">
        <f t="shared" si="1"/>
        <v>011000000001100111000000000000000000</v>
      </c>
    </row>
    <row r="11" spans="1:25" s="9" customFormat="1" x14ac:dyDescent="0.3">
      <c r="A11" s="4" t="s">
        <v>230</v>
      </c>
      <c r="B11" s="4">
        <v>8</v>
      </c>
      <c r="C11" s="26" t="str">
        <f t="shared" si="2"/>
        <v>0x8</v>
      </c>
      <c r="D11" s="21" t="str">
        <f t="shared" si="0"/>
        <v>0x701880000</v>
      </c>
      <c r="E11" s="16" t="s">
        <v>146</v>
      </c>
      <c r="F11" s="16" t="s">
        <v>103</v>
      </c>
      <c r="G11" s="16" t="s">
        <v>110</v>
      </c>
      <c r="H11" s="16" t="s">
        <v>152</v>
      </c>
      <c r="I11" s="17" t="s">
        <v>121</v>
      </c>
      <c r="J11" s="16" t="s">
        <v>103</v>
      </c>
      <c r="K11" s="16" t="s">
        <v>105</v>
      </c>
      <c r="L11" s="17" t="s">
        <v>106</v>
      </c>
      <c r="M11" s="4" t="s">
        <v>107</v>
      </c>
      <c r="N11" s="16" t="s">
        <v>175</v>
      </c>
      <c r="O11" s="9" t="str">
        <f t="shared" si="4"/>
        <v>0111</v>
      </c>
      <c r="P11" s="9" t="str">
        <f t="shared" si="5"/>
        <v>0000</v>
      </c>
      <c r="Q11" s="9" t="str">
        <f t="shared" si="6"/>
        <v>0001</v>
      </c>
      <c r="R11" s="9" t="str">
        <f t="shared" si="7"/>
        <v>1000</v>
      </c>
      <c r="S11" s="9" t="str">
        <f t="shared" si="8"/>
        <v>10</v>
      </c>
      <c r="T11" s="9" t="str">
        <f t="shared" si="9"/>
        <v>0000</v>
      </c>
      <c r="U11" s="9" t="str">
        <f t="shared" si="10"/>
        <v>000</v>
      </c>
      <c r="V11" s="9" t="str">
        <f t="shared" si="11"/>
        <v>000</v>
      </c>
      <c r="W11" s="9" t="str">
        <f t="shared" si="12"/>
        <v>0</v>
      </c>
      <c r="X11" s="9" t="str">
        <f t="shared" si="13"/>
        <v>0000000</v>
      </c>
      <c r="Y11" s="4" t="str">
        <f t="shared" si="1"/>
        <v>011100000001100010000000000000000000</v>
      </c>
    </row>
    <row r="12" spans="1:25" s="9" customFormat="1" x14ac:dyDescent="0.3">
      <c r="A12" s="4" t="s">
        <v>230</v>
      </c>
      <c r="B12" s="4">
        <v>9</v>
      </c>
      <c r="C12" s="26" t="str">
        <f t="shared" si="2"/>
        <v>0x9</v>
      </c>
      <c r="D12" s="21" t="str">
        <f t="shared" si="0"/>
        <v>0x901634800</v>
      </c>
      <c r="E12" s="16" t="s">
        <v>153</v>
      </c>
      <c r="F12" s="16" t="s">
        <v>103</v>
      </c>
      <c r="G12" s="16" t="s">
        <v>110</v>
      </c>
      <c r="H12" s="16" t="s">
        <v>144</v>
      </c>
      <c r="I12" s="17" t="s">
        <v>104</v>
      </c>
      <c r="J12" s="16" t="s">
        <v>169</v>
      </c>
      <c r="K12" s="16" t="s">
        <v>114</v>
      </c>
      <c r="L12" s="17" t="s">
        <v>106</v>
      </c>
      <c r="M12" s="4" t="s">
        <v>107</v>
      </c>
      <c r="N12" s="16" t="s">
        <v>176</v>
      </c>
      <c r="O12" s="9" t="str">
        <f t="shared" si="4"/>
        <v>1001</v>
      </c>
      <c r="P12" s="9" t="str">
        <f t="shared" si="5"/>
        <v>0000</v>
      </c>
      <c r="Q12" s="9" t="str">
        <f t="shared" si="6"/>
        <v>0001</v>
      </c>
      <c r="R12" s="9" t="str">
        <f t="shared" si="7"/>
        <v>0110</v>
      </c>
      <c r="S12" s="9" t="str">
        <f t="shared" si="8"/>
        <v>00</v>
      </c>
      <c r="T12" s="9" t="str">
        <f t="shared" si="9"/>
        <v>1101</v>
      </c>
      <c r="U12" s="9" t="str">
        <f t="shared" si="10"/>
        <v>001</v>
      </c>
      <c r="V12" s="9" t="str">
        <f t="shared" si="11"/>
        <v>000</v>
      </c>
      <c r="W12" s="9" t="str">
        <f t="shared" si="12"/>
        <v>0</v>
      </c>
      <c r="X12" s="9" t="str">
        <f t="shared" si="13"/>
        <v>0000000</v>
      </c>
      <c r="Y12" s="4" t="str">
        <f t="shared" si="1"/>
        <v>100100000001011000110100100000000000</v>
      </c>
    </row>
    <row r="13" spans="1:25" s="9" customFormat="1" x14ac:dyDescent="0.3">
      <c r="A13" s="4" t="s">
        <v>17</v>
      </c>
      <c r="B13" s="4">
        <v>10</v>
      </c>
      <c r="C13" s="26" t="str">
        <f t="shared" si="2"/>
        <v>0xA</v>
      </c>
      <c r="D13" s="21" t="str">
        <f t="shared" si="0"/>
        <v>0x000000A0E</v>
      </c>
      <c r="E13" s="16" t="s">
        <v>103</v>
      </c>
      <c r="F13" s="16" t="s">
        <v>103</v>
      </c>
      <c r="G13" s="16" t="s">
        <v>103</v>
      </c>
      <c r="H13" s="16" t="s">
        <v>103</v>
      </c>
      <c r="I13" s="17" t="s">
        <v>104</v>
      </c>
      <c r="J13" s="16" t="s">
        <v>103</v>
      </c>
      <c r="K13" s="16" t="s">
        <v>114</v>
      </c>
      <c r="L13" s="17" t="s">
        <v>123</v>
      </c>
      <c r="M13" s="4" t="s">
        <v>107</v>
      </c>
      <c r="N13" s="16" t="s">
        <v>186</v>
      </c>
      <c r="O13" s="9" t="str">
        <f t="shared" si="4"/>
        <v>0000</v>
      </c>
      <c r="P13" s="9" t="str">
        <f t="shared" si="5"/>
        <v>0000</v>
      </c>
      <c r="Q13" s="9" t="str">
        <f t="shared" si="6"/>
        <v>0000</v>
      </c>
      <c r="R13" s="9" t="str">
        <f t="shared" si="7"/>
        <v>0000</v>
      </c>
      <c r="S13" s="9" t="str">
        <f t="shared" si="8"/>
        <v>00</v>
      </c>
      <c r="T13" s="9" t="str">
        <f t="shared" si="9"/>
        <v>0000</v>
      </c>
      <c r="U13" s="9" t="str">
        <f t="shared" si="10"/>
        <v>001</v>
      </c>
      <c r="V13" s="9" t="str">
        <f t="shared" si="11"/>
        <v>010</v>
      </c>
      <c r="W13" s="9" t="str">
        <f t="shared" si="12"/>
        <v>0</v>
      </c>
      <c r="X13" s="9" t="str">
        <f t="shared" si="13"/>
        <v>0001110</v>
      </c>
      <c r="Y13" s="4" t="str">
        <f t="shared" si="1"/>
        <v>000000000000000000000000101000001110</v>
      </c>
    </row>
    <row r="14" spans="1:25" s="9" customFormat="1" x14ac:dyDescent="0.3">
      <c r="A14" s="4" t="s">
        <v>18</v>
      </c>
      <c r="B14" s="4">
        <v>11</v>
      </c>
      <c r="C14" s="26" t="str">
        <f t="shared" si="2"/>
        <v>0xB</v>
      </c>
      <c r="D14" s="21" t="str">
        <f t="shared" si="0"/>
        <v>0x000000B19</v>
      </c>
      <c r="E14" s="16" t="s">
        <v>103</v>
      </c>
      <c r="F14" s="16" t="s">
        <v>103</v>
      </c>
      <c r="G14" s="16" t="s">
        <v>103</v>
      </c>
      <c r="H14" s="16" t="s">
        <v>103</v>
      </c>
      <c r="I14" s="17" t="s">
        <v>104</v>
      </c>
      <c r="J14" s="16" t="s">
        <v>103</v>
      </c>
      <c r="K14" s="16" t="s">
        <v>114</v>
      </c>
      <c r="L14" s="17" t="s">
        <v>129</v>
      </c>
      <c r="M14" s="4" t="s">
        <v>107</v>
      </c>
      <c r="N14" s="16" t="s">
        <v>187</v>
      </c>
      <c r="O14" s="9" t="str">
        <f t="shared" si="4"/>
        <v>0000</v>
      </c>
      <c r="P14" s="9" t="str">
        <f t="shared" si="5"/>
        <v>0000</v>
      </c>
      <c r="Q14" s="9" t="str">
        <f t="shared" si="6"/>
        <v>0000</v>
      </c>
      <c r="R14" s="9" t="str">
        <f t="shared" si="7"/>
        <v>0000</v>
      </c>
      <c r="S14" s="9" t="str">
        <f t="shared" si="8"/>
        <v>00</v>
      </c>
      <c r="T14" s="9" t="str">
        <f t="shared" si="9"/>
        <v>0000</v>
      </c>
      <c r="U14" s="9" t="str">
        <f t="shared" si="10"/>
        <v>001</v>
      </c>
      <c r="V14" s="9" t="str">
        <f t="shared" si="11"/>
        <v>011</v>
      </c>
      <c r="W14" s="9" t="str">
        <f t="shared" si="12"/>
        <v>0</v>
      </c>
      <c r="X14" s="9" t="str">
        <f t="shared" si="13"/>
        <v>0011001</v>
      </c>
      <c r="Y14" s="4" t="str">
        <f t="shared" si="1"/>
        <v>000000000000000000000000101100011001</v>
      </c>
    </row>
    <row r="15" spans="1:25" s="9" customFormat="1" x14ac:dyDescent="0.3">
      <c r="A15" s="4" t="s">
        <v>19</v>
      </c>
      <c r="B15" s="4">
        <v>12</v>
      </c>
      <c r="C15" s="26" t="str">
        <f t="shared" si="2"/>
        <v>0xC</v>
      </c>
      <c r="D15" s="21" t="str">
        <f t="shared" si="0"/>
        <v>0x000000D38</v>
      </c>
      <c r="E15" s="16" t="s">
        <v>103</v>
      </c>
      <c r="F15" s="16" t="s">
        <v>103</v>
      </c>
      <c r="G15" s="16" t="s">
        <v>103</v>
      </c>
      <c r="H15" s="16" t="s">
        <v>103</v>
      </c>
      <c r="I15" s="17" t="s">
        <v>104</v>
      </c>
      <c r="J15" s="16" t="s">
        <v>103</v>
      </c>
      <c r="K15" s="16" t="s">
        <v>114</v>
      </c>
      <c r="L15" s="17" t="s">
        <v>140</v>
      </c>
      <c r="M15" s="4" t="s">
        <v>107</v>
      </c>
      <c r="N15" s="16" t="s">
        <v>188</v>
      </c>
      <c r="O15" s="9" t="str">
        <f t="shared" si="4"/>
        <v>0000</v>
      </c>
      <c r="P15" s="9" t="str">
        <f t="shared" si="5"/>
        <v>0000</v>
      </c>
      <c r="Q15" s="9" t="str">
        <f t="shared" si="6"/>
        <v>0000</v>
      </c>
      <c r="R15" s="9" t="str">
        <f t="shared" si="7"/>
        <v>0000</v>
      </c>
      <c r="S15" s="9" t="str">
        <f t="shared" si="8"/>
        <v>00</v>
      </c>
      <c r="T15" s="9" t="str">
        <f t="shared" si="9"/>
        <v>0000</v>
      </c>
      <c r="U15" s="9" t="str">
        <f t="shared" si="10"/>
        <v>001</v>
      </c>
      <c r="V15" s="9" t="str">
        <f t="shared" si="11"/>
        <v>101</v>
      </c>
      <c r="W15" s="9" t="str">
        <f t="shared" si="12"/>
        <v>0</v>
      </c>
      <c r="X15" s="9" t="str">
        <f t="shared" si="13"/>
        <v>0111000</v>
      </c>
      <c r="Y15" s="4" t="str">
        <f t="shared" si="1"/>
        <v>000000000000000000000000110100111000</v>
      </c>
    </row>
    <row r="16" spans="1:25" s="9" customFormat="1" x14ac:dyDescent="0.3">
      <c r="A16" s="4" t="s">
        <v>20</v>
      </c>
      <c r="B16" s="4">
        <v>13</v>
      </c>
      <c r="C16" s="26" t="str">
        <f t="shared" si="2"/>
        <v>0xD</v>
      </c>
      <c r="D16" s="21" t="str">
        <f t="shared" si="0"/>
        <v>0x000000D5A</v>
      </c>
      <c r="E16" s="16" t="s">
        <v>103</v>
      </c>
      <c r="F16" s="16" t="s">
        <v>103</v>
      </c>
      <c r="G16" s="16" t="s">
        <v>103</v>
      </c>
      <c r="H16" s="16" t="s">
        <v>103</v>
      </c>
      <c r="I16" s="17" t="s">
        <v>104</v>
      </c>
      <c r="J16" s="16" t="s">
        <v>103</v>
      </c>
      <c r="K16" s="16" t="s">
        <v>114</v>
      </c>
      <c r="L16" s="17" t="s">
        <v>140</v>
      </c>
      <c r="M16" s="4" t="s">
        <v>107</v>
      </c>
      <c r="N16" s="16" t="s">
        <v>189</v>
      </c>
      <c r="O16" s="9" t="str">
        <f t="shared" si="4"/>
        <v>0000</v>
      </c>
      <c r="P16" s="9" t="str">
        <f t="shared" si="5"/>
        <v>0000</v>
      </c>
      <c r="Q16" s="9" t="str">
        <f t="shared" si="6"/>
        <v>0000</v>
      </c>
      <c r="R16" s="9" t="str">
        <f t="shared" si="7"/>
        <v>0000</v>
      </c>
      <c r="S16" s="9" t="str">
        <f t="shared" si="8"/>
        <v>00</v>
      </c>
      <c r="T16" s="9" t="str">
        <f t="shared" si="9"/>
        <v>0000</v>
      </c>
      <c r="U16" s="9" t="str">
        <f t="shared" si="10"/>
        <v>001</v>
      </c>
      <c r="V16" s="9" t="str">
        <f t="shared" si="11"/>
        <v>101</v>
      </c>
      <c r="W16" s="9" t="str">
        <f t="shared" si="12"/>
        <v>0</v>
      </c>
      <c r="X16" s="9" t="str">
        <f t="shared" si="13"/>
        <v>1011010</v>
      </c>
      <c r="Y16" s="4" t="str">
        <f t="shared" si="1"/>
        <v>000000000000000000000000110101011010</v>
      </c>
    </row>
    <row r="17" spans="1:25" s="9" customFormat="1" x14ac:dyDescent="0.3">
      <c r="A17" s="4" t="s">
        <v>30</v>
      </c>
      <c r="B17" s="4">
        <v>14</v>
      </c>
      <c r="C17" s="26" t="str">
        <f t="shared" si="2"/>
        <v>0xE</v>
      </c>
      <c r="D17" s="21" t="str">
        <f t="shared" si="0"/>
        <v>0x60188C813</v>
      </c>
      <c r="E17" s="16" t="s">
        <v>141</v>
      </c>
      <c r="F17" s="16" t="s">
        <v>103</v>
      </c>
      <c r="G17" s="16" t="s">
        <v>110</v>
      </c>
      <c r="H17" s="16" t="s">
        <v>152</v>
      </c>
      <c r="I17" s="17" t="s">
        <v>121</v>
      </c>
      <c r="J17" s="16" t="s">
        <v>128</v>
      </c>
      <c r="K17" s="16" t="s">
        <v>114</v>
      </c>
      <c r="L17" s="17" t="s">
        <v>106</v>
      </c>
      <c r="M17" s="4" t="s">
        <v>107</v>
      </c>
      <c r="N17" s="16" t="s">
        <v>190</v>
      </c>
      <c r="O17" s="9" t="str">
        <f t="shared" si="4"/>
        <v>0110</v>
      </c>
      <c r="P17" s="9" t="str">
        <f t="shared" si="5"/>
        <v>0000</v>
      </c>
      <c r="Q17" s="9" t="str">
        <f t="shared" si="6"/>
        <v>0001</v>
      </c>
      <c r="R17" s="9" t="str">
        <f t="shared" si="7"/>
        <v>1000</v>
      </c>
      <c r="S17" s="9" t="str">
        <f t="shared" si="8"/>
        <v>10</v>
      </c>
      <c r="T17" s="9" t="str">
        <f t="shared" si="9"/>
        <v>0011</v>
      </c>
      <c r="U17" s="9" t="str">
        <f t="shared" si="10"/>
        <v>001</v>
      </c>
      <c r="V17" s="9" t="str">
        <f t="shared" si="11"/>
        <v>000</v>
      </c>
      <c r="W17" s="9" t="str">
        <f t="shared" si="12"/>
        <v>0</v>
      </c>
      <c r="X17" s="9" t="str">
        <f t="shared" si="13"/>
        <v>0010011</v>
      </c>
      <c r="Y17" s="4" t="str">
        <f t="shared" si="1"/>
        <v>011000000001100010001100100000010011</v>
      </c>
    </row>
    <row r="18" spans="1:25" s="9" customFormat="1" x14ac:dyDescent="0.3">
      <c r="A18" s="4" t="s">
        <v>31</v>
      </c>
      <c r="B18" s="4">
        <v>15</v>
      </c>
      <c r="C18" s="26" t="str">
        <f t="shared" si="2"/>
        <v>0xF</v>
      </c>
      <c r="D18" s="21" t="str">
        <f t="shared" si="0"/>
        <v>0x201500B15</v>
      </c>
      <c r="E18" s="16" t="s">
        <v>117</v>
      </c>
      <c r="F18" s="16" t="s">
        <v>103</v>
      </c>
      <c r="G18" s="16" t="s">
        <v>110</v>
      </c>
      <c r="H18" s="16" t="s">
        <v>138</v>
      </c>
      <c r="I18" s="17" t="s">
        <v>104</v>
      </c>
      <c r="J18" s="16" t="s">
        <v>103</v>
      </c>
      <c r="K18" s="16" t="s">
        <v>114</v>
      </c>
      <c r="L18" s="17" t="s">
        <v>129</v>
      </c>
      <c r="M18" s="4" t="s">
        <v>107</v>
      </c>
      <c r="N18" s="16" t="s">
        <v>192</v>
      </c>
      <c r="O18" s="9" t="str">
        <f t="shared" si="4"/>
        <v>0010</v>
      </c>
      <c r="P18" s="9" t="str">
        <f t="shared" si="5"/>
        <v>0000</v>
      </c>
      <c r="Q18" s="9" t="str">
        <f t="shared" si="6"/>
        <v>0001</v>
      </c>
      <c r="R18" s="9" t="str">
        <f t="shared" si="7"/>
        <v>0101</v>
      </c>
      <c r="S18" s="9" t="str">
        <f t="shared" si="8"/>
        <v>00</v>
      </c>
      <c r="T18" s="9" t="str">
        <f t="shared" si="9"/>
        <v>0000</v>
      </c>
      <c r="U18" s="9" t="str">
        <f t="shared" si="10"/>
        <v>001</v>
      </c>
      <c r="V18" s="9" t="str">
        <f t="shared" si="11"/>
        <v>011</v>
      </c>
      <c r="W18" s="9" t="str">
        <f t="shared" si="12"/>
        <v>0</v>
      </c>
      <c r="X18" s="9" t="str">
        <f t="shared" si="13"/>
        <v>0010101</v>
      </c>
      <c r="Y18" s="4" t="str">
        <f t="shared" si="1"/>
        <v>001000000001010100000000101100010101</v>
      </c>
    </row>
    <row r="19" spans="1:25" s="9" customFormat="1" x14ac:dyDescent="0.3">
      <c r="A19" s="4" t="s">
        <v>32</v>
      </c>
      <c r="B19" s="4">
        <v>16</v>
      </c>
      <c r="C19" s="26" t="str">
        <f t="shared" si="2"/>
        <v>0x10</v>
      </c>
      <c r="D19" s="21" t="str">
        <f t="shared" si="0"/>
        <v>0x201880813</v>
      </c>
      <c r="E19" s="16" t="s">
        <v>117</v>
      </c>
      <c r="F19" s="16" t="s">
        <v>103</v>
      </c>
      <c r="G19" s="16" t="s">
        <v>110</v>
      </c>
      <c r="H19" s="16" t="s">
        <v>152</v>
      </c>
      <c r="I19" s="17" t="s">
        <v>121</v>
      </c>
      <c r="J19" s="16" t="s">
        <v>103</v>
      </c>
      <c r="K19" s="16" t="s">
        <v>114</v>
      </c>
      <c r="L19" s="17" t="s">
        <v>106</v>
      </c>
      <c r="M19" s="4" t="s">
        <v>107</v>
      </c>
      <c r="N19" s="16" t="s">
        <v>190</v>
      </c>
      <c r="O19" s="9" t="str">
        <f t="shared" si="4"/>
        <v>0010</v>
      </c>
      <c r="P19" s="9" t="str">
        <f t="shared" si="5"/>
        <v>0000</v>
      </c>
      <c r="Q19" s="9" t="str">
        <f t="shared" si="6"/>
        <v>0001</v>
      </c>
      <c r="R19" s="9" t="str">
        <f t="shared" si="7"/>
        <v>1000</v>
      </c>
      <c r="S19" s="9" t="str">
        <f t="shared" si="8"/>
        <v>10</v>
      </c>
      <c r="T19" s="9" t="str">
        <f t="shared" si="9"/>
        <v>0000</v>
      </c>
      <c r="U19" s="9" t="str">
        <f t="shared" si="10"/>
        <v>001</v>
      </c>
      <c r="V19" s="9" t="str">
        <f t="shared" si="11"/>
        <v>000</v>
      </c>
      <c r="W19" s="9" t="str">
        <f t="shared" si="12"/>
        <v>0</v>
      </c>
      <c r="X19" s="9" t="str">
        <f t="shared" si="13"/>
        <v>0010011</v>
      </c>
      <c r="Y19" s="4" t="str">
        <f t="shared" si="1"/>
        <v>001000000001100010000000100000010011</v>
      </c>
    </row>
    <row r="20" spans="1:25" s="9" customFormat="1" x14ac:dyDescent="0.3">
      <c r="A20" s="4" t="s">
        <v>33</v>
      </c>
      <c r="B20" s="4">
        <v>17</v>
      </c>
      <c r="C20" s="26" t="str">
        <f t="shared" si="2"/>
        <v>0x11</v>
      </c>
      <c r="D20" s="21" t="str">
        <f t="shared" si="0"/>
        <v>0x60188C000</v>
      </c>
      <c r="E20" s="16" t="s">
        <v>141</v>
      </c>
      <c r="F20" s="16" t="s">
        <v>103</v>
      </c>
      <c r="G20" s="16" t="s">
        <v>110</v>
      </c>
      <c r="H20" s="16" t="s">
        <v>152</v>
      </c>
      <c r="I20" s="17" t="s">
        <v>121</v>
      </c>
      <c r="J20" s="16" t="s">
        <v>128</v>
      </c>
      <c r="K20" s="16" t="s">
        <v>105</v>
      </c>
      <c r="L20" s="17" t="s">
        <v>106</v>
      </c>
      <c r="M20" s="4" t="s">
        <v>107</v>
      </c>
      <c r="N20" s="16" t="s">
        <v>175</v>
      </c>
      <c r="O20" s="9" t="str">
        <f t="shared" si="4"/>
        <v>0110</v>
      </c>
      <c r="P20" s="9" t="str">
        <f t="shared" si="5"/>
        <v>0000</v>
      </c>
      <c r="Q20" s="9" t="str">
        <f t="shared" si="6"/>
        <v>0001</v>
      </c>
      <c r="R20" s="9" t="str">
        <f t="shared" si="7"/>
        <v>1000</v>
      </c>
      <c r="S20" s="9" t="str">
        <f t="shared" si="8"/>
        <v>10</v>
      </c>
      <c r="T20" s="9" t="str">
        <f t="shared" si="9"/>
        <v>0011</v>
      </c>
      <c r="U20" s="9" t="str">
        <f t="shared" si="10"/>
        <v>000</v>
      </c>
      <c r="V20" s="9" t="str">
        <f t="shared" si="11"/>
        <v>000</v>
      </c>
      <c r="W20" s="9" t="str">
        <f t="shared" si="12"/>
        <v>0</v>
      </c>
      <c r="X20" s="9" t="str">
        <f t="shared" si="13"/>
        <v>0000000</v>
      </c>
      <c r="Y20" s="4" t="str">
        <f t="shared" si="1"/>
        <v>011000000001100010001100000000000000</v>
      </c>
    </row>
    <row r="21" spans="1:25" s="9" customFormat="1" x14ac:dyDescent="0.3">
      <c r="A21" s="4" t="s">
        <v>231</v>
      </c>
      <c r="B21" s="4">
        <v>18</v>
      </c>
      <c r="C21" s="26" t="str">
        <f t="shared" si="2"/>
        <v>0x12</v>
      </c>
      <c r="D21" s="21" t="str">
        <f t="shared" si="0"/>
        <v>0x283880000</v>
      </c>
      <c r="E21" s="16" t="s">
        <v>117</v>
      </c>
      <c r="F21" s="16" t="s">
        <v>204</v>
      </c>
      <c r="G21" s="16" t="s">
        <v>200</v>
      </c>
      <c r="H21" s="16" t="s">
        <v>152</v>
      </c>
      <c r="I21" s="17" t="s">
        <v>121</v>
      </c>
      <c r="J21" s="16" t="s">
        <v>103</v>
      </c>
      <c r="K21" s="16" t="s">
        <v>105</v>
      </c>
      <c r="L21" s="17" t="s">
        <v>106</v>
      </c>
      <c r="M21" s="4" t="s">
        <v>107</v>
      </c>
      <c r="N21" s="16" t="s">
        <v>175</v>
      </c>
      <c r="O21" s="9" t="str">
        <f t="shared" si="4"/>
        <v>0010</v>
      </c>
      <c r="P21" s="9" t="str">
        <f t="shared" si="5"/>
        <v>1000</v>
      </c>
      <c r="Q21" s="9" t="str">
        <f t="shared" si="6"/>
        <v>0011</v>
      </c>
      <c r="R21" s="9" t="str">
        <f t="shared" si="7"/>
        <v>1000</v>
      </c>
      <c r="S21" s="9" t="str">
        <f t="shared" si="8"/>
        <v>10</v>
      </c>
      <c r="T21" s="9" t="str">
        <f t="shared" si="9"/>
        <v>0000</v>
      </c>
      <c r="U21" s="9" t="str">
        <f t="shared" si="10"/>
        <v>000</v>
      </c>
      <c r="V21" s="9" t="str">
        <f t="shared" si="11"/>
        <v>000</v>
      </c>
      <c r="W21" s="9" t="str">
        <f t="shared" si="12"/>
        <v>0</v>
      </c>
      <c r="X21" s="9" t="str">
        <f t="shared" si="13"/>
        <v>0000000</v>
      </c>
      <c r="Y21" s="4" t="str">
        <f t="shared" si="1"/>
        <v>001010000011100010000000000000000000</v>
      </c>
    </row>
    <row r="22" spans="1:25" s="9" customFormat="1" x14ac:dyDescent="0.3">
      <c r="A22" s="4" t="s">
        <v>21</v>
      </c>
      <c r="B22" s="4">
        <v>19</v>
      </c>
      <c r="C22" s="26" t="str">
        <f t="shared" si="2"/>
        <v>0x13</v>
      </c>
      <c r="D22" s="21" t="str">
        <f t="shared" si="0"/>
        <v>0x901500B14</v>
      </c>
      <c r="E22" s="16" t="s">
        <v>153</v>
      </c>
      <c r="F22" s="16" t="s">
        <v>103</v>
      </c>
      <c r="G22" s="16" t="s">
        <v>110</v>
      </c>
      <c r="H22" s="16" t="s">
        <v>138</v>
      </c>
      <c r="I22" s="17" t="s">
        <v>104</v>
      </c>
      <c r="J22" s="16" t="s">
        <v>103</v>
      </c>
      <c r="K22" s="16" t="s">
        <v>114</v>
      </c>
      <c r="L22" s="17" t="s">
        <v>129</v>
      </c>
      <c r="M22" s="4" t="s">
        <v>107</v>
      </c>
      <c r="N22" s="16" t="s">
        <v>191</v>
      </c>
      <c r="O22" s="9" t="str">
        <f t="shared" si="4"/>
        <v>1001</v>
      </c>
      <c r="P22" s="9" t="str">
        <f t="shared" si="5"/>
        <v>0000</v>
      </c>
      <c r="Q22" s="9" t="str">
        <f t="shared" si="6"/>
        <v>0001</v>
      </c>
      <c r="R22" s="9" t="str">
        <f t="shared" si="7"/>
        <v>0101</v>
      </c>
      <c r="S22" s="9" t="str">
        <f t="shared" si="8"/>
        <v>00</v>
      </c>
      <c r="T22" s="9" t="str">
        <f t="shared" si="9"/>
        <v>0000</v>
      </c>
      <c r="U22" s="9" t="str">
        <f t="shared" si="10"/>
        <v>001</v>
      </c>
      <c r="V22" s="9" t="str">
        <f t="shared" si="11"/>
        <v>011</v>
      </c>
      <c r="W22" s="9" t="str">
        <f t="shared" si="12"/>
        <v>0</v>
      </c>
      <c r="X22" s="9" t="str">
        <f t="shared" si="13"/>
        <v>0010100</v>
      </c>
      <c r="Y22" s="4" t="str">
        <f t="shared" si="1"/>
        <v>100100000001010100000000101100010100</v>
      </c>
    </row>
    <row r="23" spans="1:25" s="9" customFormat="1" x14ac:dyDescent="0.3">
      <c r="A23" s="4" t="s">
        <v>26</v>
      </c>
      <c r="B23" s="4">
        <v>20</v>
      </c>
      <c r="C23" s="26" t="str">
        <f t="shared" si="2"/>
        <v>0x14</v>
      </c>
      <c r="D23" s="21" t="str">
        <f t="shared" si="0"/>
        <v>0x000000802</v>
      </c>
      <c r="E23" s="16" t="s">
        <v>103</v>
      </c>
      <c r="F23" s="16" t="s">
        <v>103</v>
      </c>
      <c r="G23" s="16" t="s">
        <v>103</v>
      </c>
      <c r="H23" s="16" t="s">
        <v>103</v>
      </c>
      <c r="I23" s="17" t="s">
        <v>104</v>
      </c>
      <c r="J23" s="16" t="s">
        <v>103</v>
      </c>
      <c r="K23" s="16" t="s">
        <v>114</v>
      </c>
      <c r="L23" s="17" t="s">
        <v>106</v>
      </c>
      <c r="M23" s="4" t="s">
        <v>107</v>
      </c>
      <c r="N23" s="16" t="s">
        <v>193</v>
      </c>
      <c r="O23" s="9" t="str">
        <f t="shared" si="4"/>
        <v>0000</v>
      </c>
      <c r="P23" s="9" t="str">
        <f t="shared" si="5"/>
        <v>0000</v>
      </c>
      <c r="Q23" s="9" t="str">
        <f t="shared" si="6"/>
        <v>0000</v>
      </c>
      <c r="R23" s="9" t="str">
        <f t="shared" si="7"/>
        <v>0000</v>
      </c>
      <c r="S23" s="9" t="str">
        <f t="shared" si="8"/>
        <v>00</v>
      </c>
      <c r="T23" s="9" t="str">
        <f t="shared" si="9"/>
        <v>0000</v>
      </c>
      <c r="U23" s="9" t="str">
        <f t="shared" si="10"/>
        <v>001</v>
      </c>
      <c r="V23" s="9" t="str">
        <f t="shared" si="11"/>
        <v>000</v>
      </c>
      <c r="W23" s="9" t="str">
        <f t="shared" si="12"/>
        <v>0</v>
      </c>
      <c r="X23" s="9" t="str">
        <f t="shared" si="13"/>
        <v>0000010</v>
      </c>
      <c r="Y23" s="4" t="str">
        <f t="shared" si="1"/>
        <v>000000000000000000000000100000000010</v>
      </c>
    </row>
    <row r="24" spans="1:25" s="9" customFormat="1" x14ac:dyDescent="0.3">
      <c r="A24" s="4" t="s">
        <v>27</v>
      </c>
      <c r="B24" s="4">
        <v>21</v>
      </c>
      <c r="C24" s="26" t="str">
        <f t="shared" si="2"/>
        <v>0x15</v>
      </c>
      <c r="D24" s="21" t="str">
        <f t="shared" si="0"/>
        <v>0x022900C1E</v>
      </c>
      <c r="E24" s="16" t="s">
        <v>103</v>
      </c>
      <c r="F24" s="16" t="s">
        <v>118</v>
      </c>
      <c r="G24" s="16" t="s">
        <v>119</v>
      </c>
      <c r="H24" s="16" t="s">
        <v>154</v>
      </c>
      <c r="I24" s="17" t="s">
        <v>104</v>
      </c>
      <c r="J24" s="16" t="s">
        <v>103</v>
      </c>
      <c r="K24" s="16" t="s">
        <v>114</v>
      </c>
      <c r="L24" s="17" t="s">
        <v>135</v>
      </c>
      <c r="M24" s="4" t="s">
        <v>107</v>
      </c>
      <c r="N24" s="16" t="s">
        <v>194</v>
      </c>
      <c r="O24" s="9" t="str">
        <f t="shared" si="4"/>
        <v>0000</v>
      </c>
      <c r="P24" s="9" t="str">
        <f t="shared" si="5"/>
        <v>0010</v>
      </c>
      <c r="Q24" s="9" t="str">
        <f t="shared" si="6"/>
        <v>0010</v>
      </c>
      <c r="R24" s="9" t="str">
        <f t="shared" si="7"/>
        <v>1001</v>
      </c>
      <c r="S24" s="9" t="str">
        <f t="shared" si="8"/>
        <v>00</v>
      </c>
      <c r="T24" s="9" t="str">
        <f t="shared" si="9"/>
        <v>0000</v>
      </c>
      <c r="U24" s="9" t="str">
        <f t="shared" si="10"/>
        <v>001</v>
      </c>
      <c r="V24" s="9" t="str">
        <f t="shared" si="11"/>
        <v>100</v>
      </c>
      <c r="W24" s="9" t="str">
        <f t="shared" si="12"/>
        <v>0</v>
      </c>
      <c r="X24" s="9" t="str">
        <f t="shared" si="13"/>
        <v>0011110</v>
      </c>
      <c r="Y24" s="4" t="str">
        <f t="shared" si="1"/>
        <v>000000100010100100000000110000011110</v>
      </c>
    </row>
    <row r="25" spans="1:25" s="9" customFormat="1" x14ac:dyDescent="0.3">
      <c r="A25" s="4" t="s">
        <v>28</v>
      </c>
      <c r="B25" s="4">
        <v>22</v>
      </c>
      <c r="C25" s="26" t="str">
        <f t="shared" si="2"/>
        <v>0x16</v>
      </c>
      <c r="D25" s="21" t="str">
        <f t="shared" si="0"/>
        <v>0x022880C1E</v>
      </c>
      <c r="E25" s="16" t="s">
        <v>103</v>
      </c>
      <c r="F25" s="16" t="s">
        <v>118</v>
      </c>
      <c r="G25" s="16" t="s">
        <v>119</v>
      </c>
      <c r="H25" s="16" t="s">
        <v>152</v>
      </c>
      <c r="I25" s="17" t="s">
        <v>121</v>
      </c>
      <c r="J25" s="16" t="s">
        <v>103</v>
      </c>
      <c r="K25" s="16" t="s">
        <v>114</v>
      </c>
      <c r="L25" s="17" t="s">
        <v>135</v>
      </c>
      <c r="M25" s="4" t="s">
        <v>107</v>
      </c>
      <c r="N25" s="16" t="s">
        <v>194</v>
      </c>
      <c r="O25" s="9" t="str">
        <f t="shared" si="4"/>
        <v>0000</v>
      </c>
      <c r="P25" s="9" t="str">
        <f t="shared" si="5"/>
        <v>0010</v>
      </c>
      <c r="Q25" s="9" t="str">
        <f t="shared" si="6"/>
        <v>0010</v>
      </c>
      <c r="R25" s="9" t="str">
        <f t="shared" si="7"/>
        <v>1000</v>
      </c>
      <c r="S25" s="9" t="str">
        <f t="shared" si="8"/>
        <v>10</v>
      </c>
      <c r="T25" s="9" t="str">
        <f t="shared" si="9"/>
        <v>0000</v>
      </c>
      <c r="U25" s="9" t="str">
        <f t="shared" si="10"/>
        <v>001</v>
      </c>
      <c r="V25" s="9" t="str">
        <f t="shared" si="11"/>
        <v>100</v>
      </c>
      <c r="W25" s="9" t="str">
        <f t="shared" si="12"/>
        <v>0</v>
      </c>
      <c r="X25" s="9" t="str">
        <f t="shared" si="13"/>
        <v>0011110</v>
      </c>
      <c r="Y25" s="4" t="str">
        <f t="shared" si="1"/>
        <v>000000100010100010000000110000011110</v>
      </c>
    </row>
    <row r="26" spans="1:25" s="9" customFormat="1" x14ac:dyDescent="0.3">
      <c r="A26" s="4" t="s">
        <v>29</v>
      </c>
      <c r="B26" s="4">
        <v>23</v>
      </c>
      <c r="C26" s="26" t="str">
        <f t="shared" si="2"/>
        <v>0x17</v>
      </c>
      <c r="D26" s="21" t="str">
        <f t="shared" si="0"/>
        <v>0x06288C000</v>
      </c>
      <c r="E26" s="16" t="s">
        <v>103</v>
      </c>
      <c r="F26" s="16" t="s">
        <v>142</v>
      </c>
      <c r="G26" s="16" t="s">
        <v>119</v>
      </c>
      <c r="H26" s="16" t="s">
        <v>152</v>
      </c>
      <c r="I26" s="17" t="s">
        <v>121</v>
      </c>
      <c r="J26" s="16" t="s">
        <v>128</v>
      </c>
      <c r="K26" s="16" t="s">
        <v>105</v>
      </c>
      <c r="L26" s="17" t="s">
        <v>106</v>
      </c>
      <c r="M26" s="4" t="s">
        <v>107</v>
      </c>
      <c r="N26" s="16" t="s">
        <v>175</v>
      </c>
      <c r="O26" s="9" t="str">
        <f t="shared" si="4"/>
        <v>0000</v>
      </c>
      <c r="P26" s="9" t="str">
        <f t="shared" si="5"/>
        <v>0110</v>
      </c>
      <c r="Q26" s="9" t="str">
        <f t="shared" si="6"/>
        <v>0010</v>
      </c>
      <c r="R26" s="9" t="str">
        <f t="shared" si="7"/>
        <v>1000</v>
      </c>
      <c r="S26" s="9" t="str">
        <f t="shared" si="8"/>
        <v>10</v>
      </c>
      <c r="T26" s="9" t="str">
        <f t="shared" si="9"/>
        <v>0011</v>
      </c>
      <c r="U26" s="9" t="str">
        <f t="shared" si="10"/>
        <v>000</v>
      </c>
      <c r="V26" s="9" t="str">
        <f t="shared" si="11"/>
        <v>000</v>
      </c>
      <c r="W26" s="9" t="str">
        <f t="shared" si="12"/>
        <v>0</v>
      </c>
      <c r="X26" s="9" t="str">
        <f t="shared" si="13"/>
        <v>0000000</v>
      </c>
      <c r="Y26" s="4" t="str">
        <f t="shared" si="1"/>
        <v>000001100010100010001100000000000000</v>
      </c>
    </row>
    <row r="27" spans="1:25" s="9" customFormat="1" x14ac:dyDescent="0.3">
      <c r="A27" s="4" t="s">
        <v>232</v>
      </c>
      <c r="B27" s="4">
        <v>24</v>
      </c>
      <c r="C27" s="26" t="str">
        <f t="shared" si="2"/>
        <v>0x18</v>
      </c>
      <c r="D27" s="21" t="str">
        <f t="shared" si="0"/>
        <v>0x923880C1E</v>
      </c>
      <c r="E27" s="16" t="s">
        <v>153</v>
      </c>
      <c r="F27" s="16" t="s">
        <v>118</v>
      </c>
      <c r="G27" s="16" t="s">
        <v>200</v>
      </c>
      <c r="H27" s="16" t="s">
        <v>152</v>
      </c>
      <c r="I27" s="17" t="s">
        <v>121</v>
      </c>
      <c r="J27" s="16" t="s">
        <v>103</v>
      </c>
      <c r="K27" s="16" t="s">
        <v>114</v>
      </c>
      <c r="L27" s="17" t="s">
        <v>135</v>
      </c>
      <c r="M27" s="4" t="s">
        <v>107</v>
      </c>
      <c r="N27" s="16" t="s">
        <v>194</v>
      </c>
      <c r="O27" s="9" t="str">
        <f t="shared" si="4"/>
        <v>1001</v>
      </c>
      <c r="P27" s="9" t="str">
        <f t="shared" si="5"/>
        <v>0010</v>
      </c>
      <c r="Q27" s="9" t="str">
        <f t="shared" si="6"/>
        <v>0011</v>
      </c>
      <c r="R27" s="9" t="str">
        <f t="shared" si="7"/>
        <v>1000</v>
      </c>
      <c r="S27" s="9" t="str">
        <f t="shared" si="8"/>
        <v>10</v>
      </c>
      <c r="T27" s="9" t="str">
        <f t="shared" si="9"/>
        <v>0000</v>
      </c>
      <c r="U27" s="9" t="str">
        <f t="shared" si="10"/>
        <v>001</v>
      </c>
      <c r="V27" s="9" t="str">
        <f t="shared" si="11"/>
        <v>100</v>
      </c>
      <c r="W27" s="9" t="str">
        <f t="shared" si="12"/>
        <v>0</v>
      </c>
      <c r="X27" s="9" t="str">
        <f t="shared" si="13"/>
        <v>0011110</v>
      </c>
      <c r="Y27" s="4" t="str">
        <f t="shared" si="1"/>
        <v>100100100011100010000000110000011110</v>
      </c>
    </row>
    <row r="28" spans="1:25" s="9" customFormat="1" x14ac:dyDescent="0.3">
      <c r="A28" s="4" t="s">
        <v>22</v>
      </c>
      <c r="B28" s="4">
        <v>25</v>
      </c>
      <c r="C28" s="26" t="str">
        <f t="shared" si="2"/>
        <v>0x19</v>
      </c>
      <c r="D28" s="21" t="str">
        <f t="shared" si="0"/>
        <v>0x000000802</v>
      </c>
      <c r="E28" s="16" t="s">
        <v>103</v>
      </c>
      <c r="F28" s="16" t="s">
        <v>103</v>
      </c>
      <c r="G28" s="16" t="s">
        <v>103</v>
      </c>
      <c r="H28" s="16" t="s">
        <v>103</v>
      </c>
      <c r="I28" s="17" t="s">
        <v>104</v>
      </c>
      <c r="J28" s="16" t="s">
        <v>103</v>
      </c>
      <c r="K28" s="16" t="s">
        <v>114</v>
      </c>
      <c r="L28" s="17" t="s">
        <v>106</v>
      </c>
      <c r="M28" s="4" t="s">
        <v>107</v>
      </c>
      <c r="N28" s="16" t="s">
        <v>193</v>
      </c>
      <c r="O28" s="9" t="str">
        <f t="shared" si="4"/>
        <v>0000</v>
      </c>
      <c r="P28" s="9" t="str">
        <f t="shared" si="5"/>
        <v>0000</v>
      </c>
      <c r="Q28" s="9" t="str">
        <f t="shared" si="6"/>
        <v>0000</v>
      </c>
      <c r="R28" s="9" t="str">
        <f t="shared" si="7"/>
        <v>0000</v>
      </c>
      <c r="S28" s="9" t="str">
        <f t="shared" si="8"/>
        <v>00</v>
      </c>
      <c r="T28" s="9" t="str">
        <f t="shared" si="9"/>
        <v>0000</v>
      </c>
      <c r="U28" s="9" t="str">
        <f t="shared" si="10"/>
        <v>001</v>
      </c>
      <c r="V28" s="9" t="str">
        <f t="shared" si="11"/>
        <v>000</v>
      </c>
      <c r="W28" s="9" t="str">
        <f t="shared" si="12"/>
        <v>0</v>
      </c>
      <c r="X28" s="9" t="str">
        <f t="shared" si="13"/>
        <v>0000010</v>
      </c>
      <c r="Y28" s="4" t="str">
        <f t="shared" si="1"/>
        <v>000000000000000000000000100000000010</v>
      </c>
    </row>
    <row r="29" spans="1:25" s="9" customFormat="1" x14ac:dyDescent="0.3">
      <c r="A29" s="4" t="s">
        <v>23</v>
      </c>
      <c r="B29" s="4">
        <v>26</v>
      </c>
      <c r="C29" s="26" t="str">
        <f t="shared" si="2"/>
        <v>0x1A</v>
      </c>
      <c r="D29" s="21" t="str">
        <f t="shared" si="0"/>
        <v>0x022900D25</v>
      </c>
      <c r="E29" s="16" t="s">
        <v>103</v>
      </c>
      <c r="F29" s="16" t="s">
        <v>118</v>
      </c>
      <c r="G29" s="16" t="s">
        <v>119</v>
      </c>
      <c r="H29" s="16" t="s">
        <v>154</v>
      </c>
      <c r="I29" s="17" t="s">
        <v>104</v>
      </c>
      <c r="J29" s="16" t="s">
        <v>103</v>
      </c>
      <c r="K29" s="16" t="s">
        <v>114</v>
      </c>
      <c r="L29" s="17" t="s">
        <v>140</v>
      </c>
      <c r="M29" s="4" t="s">
        <v>107</v>
      </c>
      <c r="N29" s="16" t="s">
        <v>195</v>
      </c>
      <c r="O29" s="9" t="str">
        <f t="shared" si="4"/>
        <v>0000</v>
      </c>
      <c r="P29" s="9" t="str">
        <f t="shared" si="5"/>
        <v>0010</v>
      </c>
      <c r="Q29" s="9" t="str">
        <f t="shared" si="6"/>
        <v>0010</v>
      </c>
      <c r="R29" s="9" t="str">
        <f t="shared" si="7"/>
        <v>1001</v>
      </c>
      <c r="S29" s="9" t="str">
        <f t="shared" si="8"/>
        <v>00</v>
      </c>
      <c r="T29" s="9" t="str">
        <f t="shared" si="9"/>
        <v>0000</v>
      </c>
      <c r="U29" s="9" t="str">
        <f t="shared" si="10"/>
        <v>001</v>
      </c>
      <c r="V29" s="9" t="str">
        <f t="shared" si="11"/>
        <v>101</v>
      </c>
      <c r="W29" s="9" t="str">
        <f t="shared" si="12"/>
        <v>0</v>
      </c>
      <c r="X29" s="9" t="str">
        <f t="shared" si="13"/>
        <v>0100101</v>
      </c>
      <c r="Y29" s="4" t="str">
        <f t="shared" si="1"/>
        <v>000000100010100100000000110100100101</v>
      </c>
    </row>
    <row r="30" spans="1:25" s="9" customFormat="1" x14ac:dyDescent="0.3">
      <c r="A30" s="4" t="s">
        <v>24</v>
      </c>
      <c r="B30" s="4">
        <v>27</v>
      </c>
      <c r="C30" s="26" t="str">
        <f t="shared" si="2"/>
        <v>0x1B</v>
      </c>
      <c r="D30" s="21" t="str">
        <f t="shared" si="0"/>
        <v>0x022880C25</v>
      </c>
      <c r="E30" s="16" t="s">
        <v>103</v>
      </c>
      <c r="F30" s="16" t="s">
        <v>118</v>
      </c>
      <c r="G30" s="16" t="s">
        <v>119</v>
      </c>
      <c r="H30" s="16" t="s">
        <v>152</v>
      </c>
      <c r="I30" s="17" t="s">
        <v>121</v>
      </c>
      <c r="J30" s="16" t="s">
        <v>103</v>
      </c>
      <c r="K30" s="16" t="s">
        <v>114</v>
      </c>
      <c r="L30" s="17" t="s">
        <v>135</v>
      </c>
      <c r="M30" s="4" t="s">
        <v>107</v>
      </c>
      <c r="N30" s="16" t="s">
        <v>195</v>
      </c>
      <c r="O30" s="9" t="str">
        <f t="shared" si="4"/>
        <v>0000</v>
      </c>
      <c r="P30" s="9" t="str">
        <f t="shared" si="5"/>
        <v>0010</v>
      </c>
      <c r="Q30" s="9" t="str">
        <f t="shared" si="6"/>
        <v>0010</v>
      </c>
      <c r="R30" s="9" t="str">
        <f t="shared" si="7"/>
        <v>1000</v>
      </c>
      <c r="S30" s="9" t="str">
        <f t="shared" si="8"/>
        <v>10</v>
      </c>
      <c r="T30" s="9" t="str">
        <f t="shared" si="9"/>
        <v>0000</v>
      </c>
      <c r="U30" s="9" t="str">
        <f t="shared" si="10"/>
        <v>001</v>
      </c>
      <c r="V30" s="9" t="str">
        <f t="shared" si="11"/>
        <v>100</v>
      </c>
      <c r="W30" s="9" t="str">
        <f t="shared" si="12"/>
        <v>0</v>
      </c>
      <c r="X30" s="9" t="str">
        <f t="shared" si="13"/>
        <v>0100101</v>
      </c>
      <c r="Y30" s="4" t="str">
        <f t="shared" si="1"/>
        <v>000000100010100010000000110000100101</v>
      </c>
    </row>
    <row r="31" spans="1:25" s="9" customFormat="1" x14ac:dyDescent="0.3">
      <c r="A31" s="4" t="s">
        <v>25</v>
      </c>
      <c r="B31" s="4">
        <v>28</v>
      </c>
      <c r="C31" s="26" t="str">
        <f t="shared" si="2"/>
        <v>0x1C</v>
      </c>
      <c r="D31" s="21" t="str">
        <f t="shared" si="0"/>
        <v>0x06288C000</v>
      </c>
      <c r="E31" s="16" t="s">
        <v>103</v>
      </c>
      <c r="F31" s="16" t="s">
        <v>142</v>
      </c>
      <c r="G31" s="16" t="s">
        <v>119</v>
      </c>
      <c r="H31" s="16" t="s">
        <v>152</v>
      </c>
      <c r="I31" s="17" t="s">
        <v>121</v>
      </c>
      <c r="J31" s="16" t="s">
        <v>128</v>
      </c>
      <c r="K31" s="16" t="s">
        <v>105</v>
      </c>
      <c r="L31" s="17" t="s">
        <v>106</v>
      </c>
      <c r="M31" s="4" t="s">
        <v>107</v>
      </c>
      <c r="N31" s="16" t="s">
        <v>175</v>
      </c>
      <c r="O31" s="9" t="str">
        <f t="shared" si="4"/>
        <v>0000</v>
      </c>
      <c r="P31" s="9" t="str">
        <f t="shared" si="5"/>
        <v>0110</v>
      </c>
      <c r="Q31" s="9" t="str">
        <f t="shared" si="6"/>
        <v>0010</v>
      </c>
      <c r="R31" s="9" t="str">
        <f t="shared" si="7"/>
        <v>1000</v>
      </c>
      <c r="S31" s="9" t="str">
        <f t="shared" si="8"/>
        <v>10</v>
      </c>
      <c r="T31" s="9" t="str">
        <f t="shared" si="9"/>
        <v>0011</v>
      </c>
      <c r="U31" s="9" t="str">
        <f t="shared" si="10"/>
        <v>000</v>
      </c>
      <c r="V31" s="9" t="str">
        <f t="shared" si="11"/>
        <v>000</v>
      </c>
      <c r="W31" s="9" t="str">
        <f t="shared" si="12"/>
        <v>0</v>
      </c>
      <c r="X31" s="9" t="str">
        <f t="shared" si="13"/>
        <v>0000000</v>
      </c>
      <c r="Y31" s="4" t="str">
        <f t="shared" si="1"/>
        <v>000001100010100010001100000000000000</v>
      </c>
    </row>
    <row r="32" spans="1:25" s="9" customFormat="1" x14ac:dyDescent="0.3">
      <c r="A32" s="4" t="s">
        <v>233</v>
      </c>
      <c r="B32" s="4">
        <v>29</v>
      </c>
      <c r="C32" s="26" t="str">
        <f t="shared" si="2"/>
        <v>0x1D</v>
      </c>
      <c r="D32" s="21" t="str">
        <f t="shared" si="0"/>
        <v>0x923880C25</v>
      </c>
      <c r="E32" s="16" t="s">
        <v>153</v>
      </c>
      <c r="F32" s="16" t="s">
        <v>118</v>
      </c>
      <c r="G32" s="16" t="s">
        <v>200</v>
      </c>
      <c r="H32" s="16" t="s">
        <v>152</v>
      </c>
      <c r="I32" s="17" t="s">
        <v>121</v>
      </c>
      <c r="J32" s="16" t="s">
        <v>103</v>
      </c>
      <c r="K32" s="16" t="s">
        <v>114</v>
      </c>
      <c r="L32" s="17" t="s">
        <v>135</v>
      </c>
      <c r="M32" s="4" t="s">
        <v>107</v>
      </c>
      <c r="N32" s="16" t="s">
        <v>195</v>
      </c>
      <c r="O32" s="9" t="str">
        <f t="shared" si="4"/>
        <v>1001</v>
      </c>
      <c r="P32" s="9" t="str">
        <f t="shared" si="5"/>
        <v>0010</v>
      </c>
      <c r="Q32" s="9" t="str">
        <f t="shared" si="6"/>
        <v>0011</v>
      </c>
      <c r="R32" s="9" t="str">
        <f t="shared" si="7"/>
        <v>1000</v>
      </c>
      <c r="S32" s="9" t="str">
        <f t="shared" si="8"/>
        <v>10</v>
      </c>
      <c r="T32" s="9" t="str">
        <f t="shared" si="9"/>
        <v>0000</v>
      </c>
      <c r="U32" s="9" t="str">
        <f t="shared" si="10"/>
        <v>001</v>
      </c>
      <c r="V32" s="9" t="str">
        <f t="shared" si="11"/>
        <v>100</v>
      </c>
      <c r="W32" s="9" t="str">
        <f t="shared" si="12"/>
        <v>0</v>
      </c>
      <c r="X32" s="9" t="str">
        <f t="shared" si="13"/>
        <v>0100101</v>
      </c>
      <c r="Y32" s="4" t="str">
        <f t="shared" si="1"/>
        <v>100100100011100010000000110000100101</v>
      </c>
    </row>
    <row r="33" spans="1:25" s="9" customFormat="1" x14ac:dyDescent="0.3">
      <c r="A33" s="4" t="s">
        <v>34</v>
      </c>
      <c r="B33" s="4">
        <v>30</v>
      </c>
      <c r="C33" s="26" t="str">
        <f t="shared" si="2"/>
        <v>0x1E</v>
      </c>
      <c r="D33" s="21" t="str">
        <f t="shared" si="0"/>
        <v>0x501900B34</v>
      </c>
      <c r="E33" s="16" t="s">
        <v>136</v>
      </c>
      <c r="F33" s="16" t="s">
        <v>103</v>
      </c>
      <c r="G33" s="16" t="s">
        <v>110</v>
      </c>
      <c r="H33" s="16" t="s">
        <v>154</v>
      </c>
      <c r="I33" s="17" t="s">
        <v>104</v>
      </c>
      <c r="J33" s="16" t="s">
        <v>103</v>
      </c>
      <c r="K33" s="16" t="s">
        <v>114</v>
      </c>
      <c r="L33" s="17" t="s">
        <v>129</v>
      </c>
      <c r="M33" s="4" t="s">
        <v>107</v>
      </c>
      <c r="N33" s="16" t="s">
        <v>196</v>
      </c>
      <c r="O33" s="9" t="str">
        <f t="shared" si="4"/>
        <v>0101</v>
      </c>
      <c r="P33" s="9" t="str">
        <f t="shared" si="5"/>
        <v>0000</v>
      </c>
      <c r="Q33" s="9" t="str">
        <f t="shared" si="6"/>
        <v>0001</v>
      </c>
      <c r="R33" s="9" t="str">
        <f t="shared" si="7"/>
        <v>1001</v>
      </c>
      <c r="S33" s="9" t="str">
        <f t="shared" si="8"/>
        <v>00</v>
      </c>
      <c r="T33" s="9" t="str">
        <f t="shared" si="9"/>
        <v>0000</v>
      </c>
      <c r="U33" s="9" t="str">
        <f t="shared" si="10"/>
        <v>001</v>
      </c>
      <c r="V33" s="9" t="str">
        <f t="shared" si="11"/>
        <v>011</v>
      </c>
      <c r="W33" s="9" t="str">
        <f t="shared" si="12"/>
        <v>0</v>
      </c>
      <c r="X33" s="9" t="str">
        <f t="shared" si="13"/>
        <v>0110100</v>
      </c>
      <c r="Y33" s="4" t="str">
        <f t="shared" si="1"/>
        <v>010100000001100100000000101100110100</v>
      </c>
    </row>
    <row r="34" spans="1:25" s="9" customFormat="1" x14ac:dyDescent="0.3">
      <c r="A34" s="4" t="s">
        <v>35</v>
      </c>
      <c r="B34" s="4">
        <v>31</v>
      </c>
      <c r="C34" s="26" t="str">
        <f t="shared" si="2"/>
        <v>0x1F</v>
      </c>
      <c r="D34" s="21" t="str">
        <f t="shared" si="0"/>
        <v>0x58391CB34</v>
      </c>
      <c r="E34" s="16" t="s">
        <v>136</v>
      </c>
      <c r="F34" s="16" t="s">
        <v>204</v>
      </c>
      <c r="G34" s="16" t="s">
        <v>200</v>
      </c>
      <c r="H34" s="16" t="s">
        <v>154</v>
      </c>
      <c r="I34" s="17" t="s">
        <v>104</v>
      </c>
      <c r="J34" s="16" t="s">
        <v>199</v>
      </c>
      <c r="K34" s="16" t="s">
        <v>114</v>
      </c>
      <c r="L34" s="17" t="s">
        <v>129</v>
      </c>
      <c r="M34" s="4" t="s">
        <v>107</v>
      </c>
      <c r="N34" s="16" t="s">
        <v>196</v>
      </c>
      <c r="O34" s="9" t="str">
        <f t="shared" si="4"/>
        <v>0101</v>
      </c>
      <c r="P34" s="9" t="str">
        <f t="shared" si="5"/>
        <v>1000</v>
      </c>
      <c r="Q34" s="9" t="str">
        <f t="shared" si="6"/>
        <v>0011</v>
      </c>
      <c r="R34" s="9" t="str">
        <f t="shared" si="7"/>
        <v>1001</v>
      </c>
      <c r="S34" s="9" t="str">
        <f t="shared" si="8"/>
        <v>00</v>
      </c>
      <c r="T34" s="9" t="str">
        <f t="shared" si="9"/>
        <v>0111</v>
      </c>
      <c r="U34" s="9" t="str">
        <f t="shared" si="10"/>
        <v>001</v>
      </c>
      <c r="V34" s="9" t="str">
        <f t="shared" si="11"/>
        <v>011</v>
      </c>
      <c r="W34" s="9" t="str">
        <f t="shared" si="12"/>
        <v>0</v>
      </c>
      <c r="X34" s="9" t="str">
        <f t="shared" si="13"/>
        <v>0110100</v>
      </c>
      <c r="Y34" s="4" t="str">
        <f t="shared" si="1"/>
        <v>010110000011100100011100101100110100</v>
      </c>
    </row>
    <row r="35" spans="1:25" s="9" customFormat="1" x14ac:dyDescent="0.3">
      <c r="A35" s="4" t="s">
        <v>36</v>
      </c>
      <c r="B35" s="4">
        <v>32</v>
      </c>
      <c r="C35" s="26" t="str">
        <f t="shared" si="2"/>
        <v>0x20</v>
      </c>
      <c r="D35" s="21" t="str">
        <f t="shared" ref="D35:D66" si="14">_xlfn.CONCAT("0x",BIN2HEX(LEFT(Y35,4)),BIN2HEX(MID(Y35,5,4)), BIN2HEX(MID(Y35,9,4)), BIN2HEX(MID(Y35,13,4)), BIN2HEX(MID(Y35,17,4)), BIN2HEX(MID(Y35,21,4)), BIN2HEX(MID(Y35,25,4)), BIN2HEX(MID(Y35,29,4)), BIN2HEX(RIGHT(Y35,4)))</f>
        <v>0x58391CB34</v>
      </c>
      <c r="E35" s="16" t="s">
        <v>197</v>
      </c>
      <c r="F35" s="16" t="s">
        <v>204</v>
      </c>
      <c r="G35" s="16" t="s">
        <v>200</v>
      </c>
      <c r="H35" s="16" t="s">
        <v>154</v>
      </c>
      <c r="I35" s="17" t="s">
        <v>104</v>
      </c>
      <c r="J35" s="16" t="s">
        <v>199</v>
      </c>
      <c r="K35" s="16" t="s">
        <v>114</v>
      </c>
      <c r="L35" s="17" t="s">
        <v>129</v>
      </c>
      <c r="M35" s="4" t="s">
        <v>107</v>
      </c>
      <c r="N35" s="16" t="s">
        <v>196</v>
      </c>
      <c r="O35" s="9" t="str">
        <f t="shared" si="4"/>
        <v>0101</v>
      </c>
      <c r="P35" s="9" t="str">
        <f t="shared" si="5"/>
        <v>1000</v>
      </c>
      <c r="Q35" s="9" t="str">
        <f t="shared" si="6"/>
        <v>0011</v>
      </c>
      <c r="R35" s="9" t="str">
        <f t="shared" si="7"/>
        <v>1001</v>
      </c>
      <c r="S35" s="9" t="str">
        <f t="shared" si="8"/>
        <v>00</v>
      </c>
      <c r="T35" s="9" t="str">
        <f t="shared" si="9"/>
        <v>0111</v>
      </c>
      <c r="U35" s="9" t="str">
        <f t="shared" si="10"/>
        <v>001</v>
      </c>
      <c r="V35" s="9" t="str">
        <f t="shared" si="11"/>
        <v>011</v>
      </c>
      <c r="W35" s="9" t="str">
        <f t="shared" si="12"/>
        <v>0</v>
      </c>
      <c r="X35" s="9" t="str">
        <f t="shared" si="13"/>
        <v>0110100</v>
      </c>
      <c r="Y35" s="4" t="str">
        <f t="shared" ref="Y35:Y66" si="15">_xlfn.CONCAT(O35, P35, Q35, R35, S35, T35, U35, V35, W35, X35)</f>
        <v>010110000011100100011100101100110100</v>
      </c>
    </row>
    <row r="36" spans="1:25" s="9" customFormat="1" x14ac:dyDescent="0.3">
      <c r="A36" s="4" t="s">
        <v>37</v>
      </c>
      <c r="B36" s="4">
        <v>33</v>
      </c>
      <c r="C36" s="26" t="str">
        <f t="shared" si="2"/>
        <v>0x21</v>
      </c>
      <c r="D36" s="21" t="str">
        <f t="shared" si="14"/>
        <v>0x58301CF00</v>
      </c>
      <c r="E36" s="16" t="s">
        <v>197</v>
      </c>
      <c r="F36" s="16" t="s">
        <v>204</v>
      </c>
      <c r="G36" s="16" t="s">
        <v>200</v>
      </c>
      <c r="H36" s="16" t="s">
        <v>103</v>
      </c>
      <c r="I36" s="17" t="s">
        <v>104</v>
      </c>
      <c r="J36" s="16" t="s">
        <v>199</v>
      </c>
      <c r="K36" s="16" t="s">
        <v>114</v>
      </c>
      <c r="L36" s="17" t="s">
        <v>149</v>
      </c>
      <c r="M36" s="4" t="s">
        <v>107</v>
      </c>
      <c r="N36" s="16" t="s">
        <v>176</v>
      </c>
      <c r="O36" s="9" t="str">
        <f t="shared" si="4"/>
        <v>0101</v>
      </c>
      <c r="P36" s="9" t="str">
        <f t="shared" si="5"/>
        <v>1000</v>
      </c>
      <c r="Q36" s="9" t="str">
        <f t="shared" si="6"/>
        <v>0011</v>
      </c>
      <c r="R36" s="9" t="str">
        <f t="shared" si="7"/>
        <v>0000</v>
      </c>
      <c r="S36" s="9" t="str">
        <f t="shared" si="8"/>
        <v>00</v>
      </c>
      <c r="T36" s="9" t="str">
        <f t="shared" si="9"/>
        <v>0111</v>
      </c>
      <c r="U36" s="9" t="str">
        <f t="shared" si="10"/>
        <v>001</v>
      </c>
      <c r="V36" s="9" t="str">
        <f t="shared" si="11"/>
        <v>111</v>
      </c>
      <c r="W36" s="9" t="str">
        <f t="shared" si="12"/>
        <v>0</v>
      </c>
      <c r="X36" s="9" t="str">
        <f t="shared" si="13"/>
        <v>0000000</v>
      </c>
      <c r="Y36" s="4" t="str">
        <f t="shared" si="15"/>
        <v>010110000011000000011100111100000000</v>
      </c>
    </row>
    <row r="37" spans="1:25" s="9" customFormat="1" x14ac:dyDescent="0.3">
      <c r="A37" s="4" t="s">
        <v>38</v>
      </c>
      <c r="B37" s="4">
        <v>34</v>
      </c>
      <c r="C37" s="26" t="str">
        <f t="shared" si="2"/>
        <v>0x22</v>
      </c>
      <c r="D37" s="21" t="str">
        <f t="shared" si="14"/>
        <v>0x085920B34</v>
      </c>
      <c r="E37" s="16" t="s">
        <v>103</v>
      </c>
      <c r="F37" s="16" t="s">
        <v>204</v>
      </c>
      <c r="G37" s="16" t="s">
        <v>137</v>
      </c>
      <c r="H37" s="16" t="s">
        <v>154</v>
      </c>
      <c r="I37" s="17" t="s">
        <v>104</v>
      </c>
      <c r="J37" s="16" t="s">
        <v>198</v>
      </c>
      <c r="K37" s="16" t="s">
        <v>114</v>
      </c>
      <c r="L37" s="17" t="s">
        <v>129</v>
      </c>
      <c r="M37" s="4" t="s">
        <v>107</v>
      </c>
      <c r="N37" s="16" t="s">
        <v>196</v>
      </c>
      <c r="O37" s="9" t="str">
        <f t="shared" si="4"/>
        <v>0000</v>
      </c>
      <c r="P37" s="9" t="str">
        <f t="shared" si="5"/>
        <v>1000</v>
      </c>
      <c r="Q37" s="9" t="str">
        <f t="shared" si="6"/>
        <v>0101</v>
      </c>
      <c r="R37" s="9" t="str">
        <f t="shared" si="7"/>
        <v>1001</v>
      </c>
      <c r="S37" s="9" t="str">
        <f t="shared" si="8"/>
        <v>00</v>
      </c>
      <c r="T37" s="9" t="str">
        <f t="shared" si="9"/>
        <v>1000</v>
      </c>
      <c r="U37" s="9" t="str">
        <f t="shared" si="10"/>
        <v>001</v>
      </c>
      <c r="V37" s="9" t="str">
        <f t="shared" si="11"/>
        <v>011</v>
      </c>
      <c r="W37" s="9" t="str">
        <f t="shared" si="12"/>
        <v>0</v>
      </c>
      <c r="X37" s="9" t="str">
        <f t="shared" si="13"/>
        <v>0110100</v>
      </c>
      <c r="Y37" s="4" t="str">
        <f t="shared" si="15"/>
        <v>000010000101100100100000101100110100</v>
      </c>
    </row>
    <row r="38" spans="1:25" s="9" customFormat="1" x14ac:dyDescent="0.3">
      <c r="A38" s="4" t="s">
        <v>39</v>
      </c>
      <c r="B38" s="4">
        <v>35</v>
      </c>
      <c r="C38" s="26" t="str">
        <f t="shared" si="2"/>
        <v>0x23</v>
      </c>
      <c r="D38" s="21" t="str">
        <f t="shared" si="14"/>
        <v>0x486920B34</v>
      </c>
      <c r="E38" s="16" t="s">
        <v>130</v>
      </c>
      <c r="F38" s="16" t="s">
        <v>204</v>
      </c>
      <c r="G38" s="16" t="s">
        <v>143</v>
      </c>
      <c r="H38" s="16" t="s">
        <v>154</v>
      </c>
      <c r="I38" s="17" t="s">
        <v>104</v>
      </c>
      <c r="J38" s="16" t="s">
        <v>198</v>
      </c>
      <c r="K38" s="16" t="s">
        <v>114</v>
      </c>
      <c r="L38" s="17" t="s">
        <v>129</v>
      </c>
      <c r="M38" s="4" t="s">
        <v>107</v>
      </c>
      <c r="N38" s="16" t="s">
        <v>196</v>
      </c>
      <c r="O38" s="9" t="str">
        <f t="shared" si="4"/>
        <v>0100</v>
      </c>
      <c r="P38" s="9" t="str">
        <f t="shared" si="5"/>
        <v>1000</v>
      </c>
      <c r="Q38" s="9" t="str">
        <f t="shared" si="6"/>
        <v>0110</v>
      </c>
      <c r="R38" s="9" t="str">
        <f t="shared" si="7"/>
        <v>1001</v>
      </c>
      <c r="S38" s="9" t="str">
        <f t="shared" si="8"/>
        <v>00</v>
      </c>
      <c r="T38" s="9" t="str">
        <f t="shared" si="9"/>
        <v>1000</v>
      </c>
      <c r="U38" s="9" t="str">
        <f t="shared" si="10"/>
        <v>001</v>
      </c>
      <c r="V38" s="9" t="str">
        <f t="shared" si="11"/>
        <v>011</v>
      </c>
      <c r="W38" s="9" t="str">
        <f t="shared" si="12"/>
        <v>0</v>
      </c>
      <c r="X38" s="9" t="str">
        <f t="shared" si="13"/>
        <v>0110100</v>
      </c>
      <c r="Y38" s="4" t="str">
        <f t="shared" si="15"/>
        <v>010010000110100100100000101100110100</v>
      </c>
    </row>
    <row r="39" spans="1:25" s="9" customFormat="1" x14ac:dyDescent="0.3">
      <c r="A39" s="4" t="s">
        <v>40</v>
      </c>
      <c r="B39" s="4">
        <v>36</v>
      </c>
      <c r="C39" s="26" t="str">
        <f t="shared" si="2"/>
        <v>0x24</v>
      </c>
      <c r="D39" s="21" t="str">
        <f t="shared" si="14"/>
        <v>0x487920B34</v>
      </c>
      <c r="E39" s="16" t="s">
        <v>130</v>
      </c>
      <c r="F39" s="16" t="s">
        <v>204</v>
      </c>
      <c r="G39" s="16" t="s">
        <v>147</v>
      </c>
      <c r="H39" s="16" t="s">
        <v>154</v>
      </c>
      <c r="I39" s="17" t="s">
        <v>104</v>
      </c>
      <c r="J39" s="16" t="s">
        <v>198</v>
      </c>
      <c r="K39" s="16" t="s">
        <v>114</v>
      </c>
      <c r="L39" s="17" t="s">
        <v>129</v>
      </c>
      <c r="M39" s="4" t="s">
        <v>107</v>
      </c>
      <c r="N39" s="16" t="s">
        <v>196</v>
      </c>
      <c r="O39" s="9" t="str">
        <f t="shared" si="4"/>
        <v>0100</v>
      </c>
      <c r="P39" s="9" t="str">
        <f t="shared" si="5"/>
        <v>1000</v>
      </c>
      <c r="Q39" s="9" t="str">
        <f t="shared" si="6"/>
        <v>0111</v>
      </c>
      <c r="R39" s="9" t="str">
        <f t="shared" si="7"/>
        <v>1001</v>
      </c>
      <c r="S39" s="9" t="str">
        <f t="shared" si="8"/>
        <v>00</v>
      </c>
      <c r="T39" s="9" t="str">
        <f t="shared" si="9"/>
        <v>1000</v>
      </c>
      <c r="U39" s="9" t="str">
        <f t="shared" si="10"/>
        <v>001</v>
      </c>
      <c r="V39" s="9" t="str">
        <f t="shared" si="11"/>
        <v>011</v>
      </c>
      <c r="W39" s="9" t="str">
        <f t="shared" si="12"/>
        <v>0</v>
      </c>
      <c r="X39" s="9" t="str">
        <f t="shared" si="13"/>
        <v>0110100</v>
      </c>
      <c r="Y39" s="4" t="str">
        <f t="shared" si="15"/>
        <v>010010000111100100100000101100110100</v>
      </c>
    </row>
    <row r="40" spans="1:25" s="9" customFormat="1" x14ac:dyDescent="0.3">
      <c r="A40" s="4" t="s">
        <v>41</v>
      </c>
      <c r="B40" s="4">
        <v>37</v>
      </c>
      <c r="C40" s="26" t="str">
        <f t="shared" si="2"/>
        <v>0x25</v>
      </c>
      <c r="D40" s="21" t="str">
        <f t="shared" si="14"/>
        <v>0x0B2920B34</v>
      </c>
      <c r="E40" s="16" t="s">
        <v>103</v>
      </c>
      <c r="F40" s="16" t="s">
        <v>161</v>
      </c>
      <c r="G40" s="16" t="s">
        <v>119</v>
      </c>
      <c r="H40" s="16" t="s">
        <v>154</v>
      </c>
      <c r="I40" s="17" t="s">
        <v>104</v>
      </c>
      <c r="J40" s="16" t="s">
        <v>198</v>
      </c>
      <c r="K40" s="16" t="s">
        <v>114</v>
      </c>
      <c r="L40" s="17" t="s">
        <v>129</v>
      </c>
      <c r="M40" s="4" t="s">
        <v>107</v>
      </c>
      <c r="N40" s="16" t="s">
        <v>196</v>
      </c>
      <c r="O40" s="9" t="str">
        <f t="shared" si="4"/>
        <v>0000</v>
      </c>
      <c r="P40" s="9" t="str">
        <f t="shared" si="5"/>
        <v>1011</v>
      </c>
      <c r="Q40" s="9" t="str">
        <f t="shared" si="6"/>
        <v>0010</v>
      </c>
      <c r="R40" s="9" t="str">
        <f t="shared" si="7"/>
        <v>1001</v>
      </c>
      <c r="S40" s="9" t="str">
        <f t="shared" si="8"/>
        <v>00</v>
      </c>
      <c r="T40" s="9" t="str">
        <f t="shared" si="9"/>
        <v>1000</v>
      </c>
      <c r="U40" s="9" t="str">
        <f t="shared" si="10"/>
        <v>001</v>
      </c>
      <c r="V40" s="9" t="str">
        <f t="shared" si="11"/>
        <v>011</v>
      </c>
      <c r="W40" s="9" t="str">
        <f t="shared" si="12"/>
        <v>0</v>
      </c>
      <c r="X40" s="9" t="str">
        <f t="shared" si="13"/>
        <v>0110100</v>
      </c>
      <c r="Y40" s="4" t="str">
        <f t="shared" si="15"/>
        <v>000010110010100100100000101100110100</v>
      </c>
    </row>
    <row r="41" spans="1:25" s="9" customFormat="1" x14ac:dyDescent="0.3">
      <c r="A41" s="4" t="s">
        <v>42</v>
      </c>
      <c r="B41" s="4">
        <v>38</v>
      </c>
      <c r="C41" s="26" t="str">
        <f t="shared" si="2"/>
        <v>0x26</v>
      </c>
      <c r="D41" s="21" t="str">
        <f t="shared" si="14"/>
        <v>0x092920B34</v>
      </c>
      <c r="E41" s="16" t="s">
        <v>103</v>
      </c>
      <c r="F41" s="16" t="s">
        <v>205</v>
      </c>
      <c r="G41" s="16" t="s">
        <v>119</v>
      </c>
      <c r="H41" s="16" t="s">
        <v>154</v>
      </c>
      <c r="I41" s="17" t="s">
        <v>104</v>
      </c>
      <c r="J41" s="16" t="s">
        <v>198</v>
      </c>
      <c r="K41" s="16" t="s">
        <v>114</v>
      </c>
      <c r="L41" s="17" t="s">
        <v>129</v>
      </c>
      <c r="M41" s="4" t="s">
        <v>107</v>
      </c>
      <c r="N41" s="16" t="s">
        <v>196</v>
      </c>
      <c r="O41" s="9" t="str">
        <f t="shared" si="4"/>
        <v>0000</v>
      </c>
      <c r="P41" s="9" t="str">
        <f t="shared" si="5"/>
        <v>1001</v>
      </c>
      <c r="Q41" s="9" t="str">
        <f t="shared" si="6"/>
        <v>0010</v>
      </c>
      <c r="R41" s="9" t="str">
        <f t="shared" si="7"/>
        <v>1001</v>
      </c>
      <c r="S41" s="9" t="str">
        <f t="shared" si="8"/>
        <v>00</v>
      </c>
      <c r="T41" s="9" t="str">
        <f t="shared" si="9"/>
        <v>1000</v>
      </c>
      <c r="U41" s="9" t="str">
        <f t="shared" si="10"/>
        <v>001</v>
      </c>
      <c r="V41" s="9" t="str">
        <f t="shared" si="11"/>
        <v>011</v>
      </c>
      <c r="W41" s="9" t="str">
        <f t="shared" si="12"/>
        <v>0</v>
      </c>
      <c r="X41" s="9" t="str">
        <f t="shared" si="13"/>
        <v>0110100</v>
      </c>
      <c r="Y41" s="4" t="str">
        <f t="shared" si="15"/>
        <v>000010010010100100100000101100110100</v>
      </c>
    </row>
    <row r="42" spans="1:25" s="9" customFormat="1" x14ac:dyDescent="0.3">
      <c r="A42" s="4" t="s">
        <v>43</v>
      </c>
      <c r="B42" s="4">
        <v>39</v>
      </c>
      <c r="C42" s="26" t="str">
        <f t="shared" si="2"/>
        <v>0x27</v>
      </c>
      <c r="D42" s="21" t="str">
        <f t="shared" si="14"/>
        <v>0xB8391CB34</v>
      </c>
      <c r="E42" s="16" t="s">
        <v>160</v>
      </c>
      <c r="F42" s="16" t="s">
        <v>204</v>
      </c>
      <c r="G42" s="16" t="s">
        <v>200</v>
      </c>
      <c r="H42" s="16" t="s">
        <v>154</v>
      </c>
      <c r="I42" s="17" t="s">
        <v>104</v>
      </c>
      <c r="J42" s="16" t="s">
        <v>199</v>
      </c>
      <c r="K42" s="16" t="s">
        <v>114</v>
      </c>
      <c r="L42" s="17" t="s">
        <v>129</v>
      </c>
      <c r="M42" s="4" t="s">
        <v>107</v>
      </c>
      <c r="N42" s="16" t="s">
        <v>196</v>
      </c>
      <c r="O42" s="9" t="str">
        <f t="shared" si="4"/>
        <v>1011</v>
      </c>
      <c r="P42" s="9" t="str">
        <f t="shared" si="5"/>
        <v>1000</v>
      </c>
      <c r="Q42" s="9" t="str">
        <f t="shared" si="6"/>
        <v>0011</v>
      </c>
      <c r="R42" s="9" t="str">
        <f t="shared" si="7"/>
        <v>1001</v>
      </c>
      <c r="S42" s="9" t="str">
        <f t="shared" si="8"/>
        <v>00</v>
      </c>
      <c r="T42" s="9" t="str">
        <f t="shared" si="9"/>
        <v>0111</v>
      </c>
      <c r="U42" s="9" t="str">
        <f t="shared" si="10"/>
        <v>001</v>
      </c>
      <c r="V42" s="9" t="str">
        <f t="shared" si="11"/>
        <v>011</v>
      </c>
      <c r="W42" s="9" t="str">
        <f t="shared" si="12"/>
        <v>0</v>
      </c>
      <c r="X42" s="9" t="str">
        <f t="shared" si="13"/>
        <v>0110100</v>
      </c>
      <c r="Y42" s="4" t="str">
        <f t="shared" si="15"/>
        <v>101110000011100100011100101100110100</v>
      </c>
    </row>
    <row r="43" spans="1:25" s="9" customFormat="1" x14ac:dyDescent="0.3">
      <c r="A43" s="4" t="s">
        <v>44</v>
      </c>
      <c r="B43" s="4">
        <v>40</v>
      </c>
      <c r="C43" s="26" t="str">
        <f t="shared" si="2"/>
        <v>0x28</v>
      </c>
      <c r="D43" s="21" t="str">
        <f t="shared" si="14"/>
        <v>0xC83918B34</v>
      </c>
      <c r="E43" s="16" t="s">
        <v>164</v>
      </c>
      <c r="F43" s="16" t="s">
        <v>204</v>
      </c>
      <c r="G43" s="16" t="s">
        <v>200</v>
      </c>
      <c r="H43" s="16" t="s">
        <v>154</v>
      </c>
      <c r="I43" s="17" t="s">
        <v>104</v>
      </c>
      <c r="J43" s="16" t="s">
        <v>206</v>
      </c>
      <c r="K43" s="16" t="s">
        <v>114</v>
      </c>
      <c r="L43" s="17" t="s">
        <v>129</v>
      </c>
      <c r="M43" s="4" t="s">
        <v>107</v>
      </c>
      <c r="N43" s="16" t="s">
        <v>196</v>
      </c>
      <c r="O43" s="9" t="str">
        <f t="shared" si="4"/>
        <v>1100</v>
      </c>
      <c r="P43" s="9" t="str">
        <f t="shared" si="5"/>
        <v>1000</v>
      </c>
      <c r="Q43" s="9" t="str">
        <f t="shared" si="6"/>
        <v>0011</v>
      </c>
      <c r="R43" s="9" t="str">
        <f t="shared" si="7"/>
        <v>1001</v>
      </c>
      <c r="S43" s="9" t="str">
        <f t="shared" si="8"/>
        <v>00</v>
      </c>
      <c r="T43" s="9" t="str">
        <f t="shared" si="9"/>
        <v>0110</v>
      </c>
      <c r="U43" s="9" t="str">
        <f t="shared" si="10"/>
        <v>001</v>
      </c>
      <c r="V43" s="9" t="str">
        <f t="shared" si="11"/>
        <v>011</v>
      </c>
      <c r="W43" s="9" t="str">
        <f t="shared" si="12"/>
        <v>0</v>
      </c>
      <c r="X43" s="9" t="str">
        <f t="shared" si="13"/>
        <v>0110100</v>
      </c>
      <c r="Y43" s="4" t="str">
        <f t="shared" si="15"/>
        <v>110010000011100100011000101100110100</v>
      </c>
    </row>
    <row r="44" spans="1:25" s="9" customFormat="1" x14ac:dyDescent="0.3">
      <c r="A44" s="4" t="s">
        <v>45</v>
      </c>
      <c r="B44" s="4">
        <v>41</v>
      </c>
      <c r="C44" s="26" t="str">
        <f t="shared" si="2"/>
        <v>0x29</v>
      </c>
      <c r="D44" s="21" t="str">
        <f t="shared" si="14"/>
        <v>0x088918B34</v>
      </c>
      <c r="E44" s="16" t="s">
        <v>103</v>
      </c>
      <c r="F44" s="16" t="s">
        <v>204</v>
      </c>
      <c r="G44" s="16" t="s">
        <v>151</v>
      </c>
      <c r="H44" s="16" t="s">
        <v>154</v>
      </c>
      <c r="I44" s="17" t="s">
        <v>104</v>
      </c>
      <c r="J44" s="16" t="s">
        <v>206</v>
      </c>
      <c r="K44" s="16" t="s">
        <v>114</v>
      </c>
      <c r="L44" s="17" t="s">
        <v>129</v>
      </c>
      <c r="M44" s="4" t="s">
        <v>107</v>
      </c>
      <c r="N44" s="16" t="s">
        <v>196</v>
      </c>
      <c r="O44" s="9" t="str">
        <f t="shared" si="4"/>
        <v>0000</v>
      </c>
      <c r="P44" s="9" t="str">
        <f t="shared" si="5"/>
        <v>1000</v>
      </c>
      <c r="Q44" s="9" t="str">
        <f t="shared" si="6"/>
        <v>1000</v>
      </c>
      <c r="R44" s="9" t="str">
        <f t="shared" si="7"/>
        <v>1001</v>
      </c>
      <c r="S44" s="9" t="str">
        <f t="shared" si="8"/>
        <v>00</v>
      </c>
      <c r="T44" s="9" t="str">
        <f t="shared" si="9"/>
        <v>0110</v>
      </c>
      <c r="U44" s="9" t="str">
        <f t="shared" si="10"/>
        <v>001</v>
      </c>
      <c r="V44" s="9" t="str">
        <f t="shared" si="11"/>
        <v>011</v>
      </c>
      <c r="W44" s="9" t="str">
        <f t="shared" si="12"/>
        <v>0</v>
      </c>
      <c r="X44" s="9" t="str">
        <f t="shared" si="13"/>
        <v>0110100</v>
      </c>
      <c r="Y44" s="4" t="str">
        <f t="shared" si="15"/>
        <v>000010001000100100011000101100110100</v>
      </c>
    </row>
    <row r="45" spans="1:25" s="9" customFormat="1" x14ac:dyDescent="0.3">
      <c r="A45" s="4" t="s">
        <v>46</v>
      </c>
      <c r="B45" s="4">
        <v>42</v>
      </c>
      <c r="C45" s="26" t="str">
        <f t="shared" si="2"/>
        <v>0x2A</v>
      </c>
      <c r="D45" s="21" t="str">
        <f t="shared" si="14"/>
        <v>0x089918B34</v>
      </c>
      <c r="E45" s="16" t="s">
        <v>103</v>
      </c>
      <c r="F45" s="16" t="s">
        <v>204</v>
      </c>
      <c r="G45" s="16" t="s">
        <v>218</v>
      </c>
      <c r="H45" s="16" t="s">
        <v>154</v>
      </c>
      <c r="I45" s="17" t="s">
        <v>104</v>
      </c>
      <c r="J45" s="16" t="s">
        <v>206</v>
      </c>
      <c r="K45" s="16" t="s">
        <v>114</v>
      </c>
      <c r="L45" s="17" t="s">
        <v>129</v>
      </c>
      <c r="M45" s="4" t="s">
        <v>107</v>
      </c>
      <c r="N45" s="16" t="s">
        <v>196</v>
      </c>
      <c r="O45" s="9" t="str">
        <f t="shared" si="4"/>
        <v>0000</v>
      </c>
      <c r="P45" s="9" t="str">
        <f t="shared" si="5"/>
        <v>1000</v>
      </c>
      <c r="Q45" s="9" t="str">
        <f t="shared" si="6"/>
        <v>1001</v>
      </c>
      <c r="R45" s="9" t="str">
        <f t="shared" si="7"/>
        <v>1001</v>
      </c>
      <c r="S45" s="9" t="str">
        <f t="shared" si="8"/>
        <v>00</v>
      </c>
      <c r="T45" s="9" t="str">
        <f t="shared" si="9"/>
        <v>0110</v>
      </c>
      <c r="U45" s="9" t="str">
        <f t="shared" si="10"/>
        <v>001</v>
      </c>
      <c r="V45" s="9" t="str">
        <f t="shared" si="11"/>
        <v>011</v>
      </c>
      <c r="W45" s="9" t="str">
        <f t="shared" si="12"/>
        <v>0</v>
      </c>
      <c r="X45" s="9" t="str">
        <f t="shared" si="13"/>
        <v>0110100</v>
      </c>
      <c r="Y45" s="4" t="str">
        <f t="shared" si="15"/>
        <v>000010001001100100011000101100110100</v>
      </c>
    </row>
    <row r="46" spans="1:25" s="9" customFormat="1" x14ac:dyDescent="0.3">
      <c r="A46" s="4" t="s">
        <v>47</v>
      </c>
      <c r="B46" s="4">
        <v>43</v>
      </c>
      <c r="C46" s="26" t="str">
        <f t="shared" si="2"/>
        <v>0x2B</v>
      </c>
      <c r="D46" s="21" t="str">
        <f t="shared" si="14"/>
        <v>0x08A920B34</v>
      </c>
      <c r="E46" s="16" t="s">
        <v>103</v>
      </c>
      <c r="F46" s="16" t="s">
        <v>204</v>
      </c>
      <c r="G46" s="16" t="s">
        <v>158</v>
      </c>
      <c r="H46" s="16" t="s">
        <v>154</v>
      </c>
      <c r="I46" s="17" t="s">
        <v>104</v>
      </c>
      <c r="J46" s="16" t="s">
        <v>198</v>
      </c>
      <c r="K46" s="16" t="s">
        <v>114</v>
      </c>
      <c r="L46" s="17" t="s">
        <v>129</v>
      </c>
      <c r="M46" s="4" t="s">
        <v>107</v>
      </c>
      <c r="N46" s="16" t="s">
        <v>196</v>
      </c>
      <c r="O46" s="9" t="str">
        <f t="shared" ref="O46:R47" si="16">MID(E46,FIND(": ",E46)+2, 4)</f>
        <v>0000</v>
      </c>
      <c r="P46" s="9" t="str">
        <f t="shared" si="16"/>
        <v>1000</v>
      </c>
      <c r="Q46" s="9" t="str">
        <f t="shared" si="16"/>
        <v>1010</v>
      </c>
      <c r="R46" s="9" t="str">
        <f t="shared" si="16"/>
        <v>1001</v>
      </c>
      <c r="S46" s="9" t="str">
        <f>MID(I46,FIND(": ",I46)+2, 2)</f>
        <v>00</v>
      </c>
      <c r="T46" s="9" t="str">
        <f>MID(J46,FIND(": ",J46)+2, 4)</f>
        <v>1000</v>
      </c>
      <c r="U46" s="9" t="str">
        <f>MID(K46,FIND(": ",K46)+2, 3)</f>
        <v>001</v>
      </c>
      <c r="V46" s="9" t="str">
        <f>MID(L46,FIND(": ",L46)+2, 3)</f>
        <v>011</v>
      </c>
      <c r="W46" s="9" t="str">
        <f>MID(M46,FIND(": ",M46)+2, 1)</f>
        <v>0</v>
      </c>
      <c r="X46" s="9" t="str">
        <f>MID(N46,FIND(": ",N46)+2, 7)</f>
        <v>0110100</v>
      </c>
      <c r="Y46" s="4" t="str">
        <f t="shared" si="15"/>
        <v>000010001010100100100000101100110100</v>
      </c>
    </row>
    <row r="47" spans="1:25" s="9" customFormat="1" x14ac:dyDescent="0.3">
      <c r="A47" s="4" t="s">
        <v>48</v>
      </c>
      <c r="B47" s="4">
        <v>44</v>
      </c>
      <c r="C47" s="26" t="str">
        <f t="shared" si="2"/>
        <v>0x2C</v>
      </c>
      <c r="D47" s="21" t="str">
        <f t="shared" si="14"/>
        <v>0x08B920B34</v>
      </c>
      <c r="E47" s="16" t="s">
        <v>103</v>
      </c>
      <c r="F47" s="16" t="s">
        <v>204</v>
      </c>
      <c r="G47" s="16" t="s">
        <v>162</v>
      </c>
      <c r="H47" s="16" t="s">
        <v>154</v>
      </c>
      <c r="I47" s="17" t="s">
        <v>104</v>
      </c>
      <c r="J47" s="16" t="s">
        <v>198</v>
      </c>
      <c r="K47" s="16" t="s">
        <v>114</v>
      </c>
      <c r="L47" s="17" t="s">
        <v>129</v>
      </c>
      <c r="M47" s="4" t="s">
        <v>107</v>
      </c>
      <c r="N47" s="16" t="s">
        <v>196</v>
      </c>
      <c r="O47" s="9" t="str">
        <f t="shared" si="16"/>
        <v>0000</v>
      </c>
      <c r="P47" s="9" t="str">
        <f t="shared" si="16"/>
        <v>1000</v>
      </c>
      <c r="Q47" s="9" t="str">
        <f t="shared" si="16"/>
        <v>1011</v>
      </c>
      <c r="R47" s="9" t="str">
        <f t="shared" si="16"/>
        <v>1001</v>
      </c>
      <c r="S47" s="9" t="str">
        <f>MID(I47,FIND(": ",I47)+2, 2)</f>
        <v>00</v>
      </c>
      <c r="T47" s="9" t="str">
        <f>MID(J47,FIND(": ",J47)+2, 4)</f>
        <v>1000</v>
      </c>
      <c r="U47" s="9" t="str">
        <f>MID(K47,FIND(": ",K47)+2, 3)</f>
        <v>001</v>
      </c>
      <c r="V47" s="9" t="str">
        <f>MID(L47,FIND(": ",L47)+2, 3)</f>
        <v>011</v>
      </c>
      <c r="W47" s="9" t="str">
        <f>MID(M47,FIND(": ",M47)+2, 1)</f>
        <v>0</v>
      </c>
      <c r="X47" s="9" t="str">
        <f>MID(N47,FIND(": ",N47)+2, 7)</f>
        <v>0110100</v>
      </c>
      <c r="Y47" s="4" t="str">
        <f t="shared" si="15"/>
        <v>000010001011100100100000101100110100</v>
      </c>
    </row>
    <row r="48" spans="1:25" s="9" customFormat="1" x14ac:dyDescent="0.3">
      <c r="A48" s="4" t="s">
        <v>49</v>
      </c>
      <c r="B48" s="4">
        <v>45</v>
      </c>
      <c r="C48" s="26" t="str">
        <f t="shared" si="2"/>
        <v>0x2D</v>
      </c>
      <c r="D48" s="21" t="str">
        <f t="shared" si="14"/>
        <v>0x08C920B34</v>
      </c>
      <c r="E48" s="16" t="s">
        <v>103</v>
      </c>
      <c r="F48" s="16" t="s">
        <v>204</v>
      </c>
      <c r="G48" s="16" t="s">
        <v>166</v>
      </c>
      <c r="H48" s="16" t="s">
        <v>154</v>
      </c>
      <c r="I48" s="17" t="s">
        <v>104</v>
      </c>
      <c r="J48" s="16" t="s">
        <v>198</v>
      </c>
      <c r="K48" s="16" t="s">
        <v>114</v>
      </c>
      <c r="L48" s="17" t="s">
        <v>129</v>
      </c>
      <c r="M48" s="4" t="s">
        <v>107</v>
      </c>
      <c r="N48" s="16" t="s">
        <v>196</v>
      </c>
      <c r="O48" s="9" t="str">
        <f t="shared" si="4"/>
        <v>0000</v>
      </c>
      <c r="P48" s="9" t="str">
        <f t="shared" si="5"/>
        <v>1000</v>
      </c>
      <c r="Q48" s="9" t="str">
        <f t="shared" si="6"/>
        <v>1100</v>
      </c>
      <c r="R48" s="9" t="str">
        <f t="shared" si="7"/>
        <v>1001</v>
      </c>
      <c r="S48" s="9" t="str">
        <f t="shared" si="8"/>
        <v>00</v>
      </c>
      <c r="T48" s="9" t="str">
        <f t="shared" si="9"/>
        <v>1000</v>
      </c>
      <c r="U48" s="9" t="str">
        <f t="shared" si="10"/>
        <v>001</v>
      </c>
      <c r="V48" s="9" t="str">
        <f t="shared" si="11"/>
        <v>011</v>
      </c>
      <c r="W48" s="9" t="str">
        <f t="shared" si="12"/>
        <v>0</v>
      </c>
      <c r="X48" s="9" t="str">
        <f t="shared" si="13"/>
        <v>0110100</v>
      </c>
      <c r="Y48" s="4" t="str">
        <f t="shared" si="15"/>
        <v>000010001100100100100000101100110100</v>
      </c>
    </row>
    <row r="49" spans="1:25" s="9" customFormat="1" x14ac:dyDescent="0.3">
      <c r="A49" s="4" t="s">
        <v>50</v>
      </c>
      <c r="B49" s="4">
        <v>46</v>
      </c>
      <c r="C49" s="26" t="str">
        <f t="shared" si="2"/>
        <v>0x2E</v>
      </c>
      <c r="D49" s="21" t="str">
        <f t="shared" si="14"/>
        <v>0x08D920B34</v>
      </c>
      <c r="E49" s="16" t="s">
        <v>103</v>
      </c>
      <c r="F49" s="16" t="s">
        <v>204</v>
      </c>
      <c r="G49" s="16" t="s">
        <v>168</v>
      </c>
      <c r="H49" s="16" t="s">
        <v>154</v>
      </c>
      <c r="I49" s="17" t="s">
        <v>104</v>
      </c>
      <c r="J49" s="16" t="s">
        <v>198</v>
      </c>
      <c r="K49" s="16" t="s">
        <v>114</v>
      </c>
      <c r="L49" s="17" t="s">
        <v>129</v>
      </c>
      <c r="M49" s="4" t="s">
        <v>107</v>
      </c>
      <c r="N49" s="16" t="s">
        <v>196</v>
      </c>
      <c r="O49" s="9" t="str">
        <f t="shared" si="4"/>
        <v>0000</v>
      </c>
      <c r="P49" s="9" t="str">
        <f t="shared" si="5"/>
        <v>1000</v>
      </c>
      <c r="Q49" s="9" t="str">
        <f t="shared" si="6"/>
        <v>1101</v>
      </c>
      <c r="R49" s="9" t="str">
        <f t="shared" si="7"/>
        <v>1001</v>
      </c>
      <c r="S49" s="9" t="str">
        <f t="shared" si="8"/>
        <v>00</v>
      </c>
      <c r="T49" s="9" t="str">
        <f t="shared" si="9"/>
        <v>1000</v>
      </c>
      <c r="U49" s="9" t="str">
        <f t="shared" si="10"/>
        <v>001</v>
      </c>
      <c r="V49" s="9" t="str">
        <f t="shared" si="11"/>
        <v>011</v>
      </c>
      <c r="W49" s="9" t="str">
        <f t="shared" si="12"/>
        <v>0</v>
      </c>
      <c r="X49" s="9" t="str">
        <f t="shared" si="13"/>
        <v>0110100</v>
      </c>
      <c r="Y49" s="4" t="str">
        <f t="shared" si="15"/>
        <v>000010001101100100100000101100110100</v>
      </c>
    </row>
    <row r="50" spans="1:25" s="9" customFormat="1" x14ac:dyDescent="0.3">
      <c r="A50" s="4" t="s">
        <v>51</v>
      </c>
      <c r="B50" s="4">
        <v>47</v>
      </c>
      <c r="C50" s="26" t="str">
        <f t="shared" si="2"/>
        <v>0x2F</v>
      </c>
      <c r="D50" s="21" t="str">
        <f t="shared" si="14"/>
        <v>0x08E920B34</v>
      </c>
      <c r="E50" s="16" t="s">
        <v>103</v>
      </c>
      <c r="F50" s="16" t="s">
        <v>204</v>
      </c>
      <c r="G50" s="16" t="s">
        <v>170</v>
      </c>
      <c r="H50" s="16" t="s">
        <v>154</v>
      </c>
      <c r="I50" s="17" t="s">
        <v>104</v>
      </c>
      <c r="J50" s="16" t="s">
        <v>198</v>
      </c>
      <c r="K50" s="16" t="s">
        <v>114</v>
      </c>
      <c r="L50" s="17" t="s">
        <v>129</v>
      </c>
      <c r="M50" s="4" t="s">
        <v>107</v>
      </c>
      <c r="N50" s="16" t="s">
        <v>196</v>
      </c>
      <c r="O50" s="9" t="str">
        <f t="shared" si="4"/>
        <v>0000</v>
      </c>
      <c r="P50" s="9" t="str">
        <f t="shared" si="5"/>
        <v>1000</v>
      </c>
      <c r="Q50" s="9" t="str">
        <f t="shared" si="6"/>
        <v>1110</v>
      </c>
      <c r="R50" s="9" t="str">
        <f t="shared" si="7"/>
        <v>1001</v>
      </c>
      <c r="S50" s="9" t="str">
        <f t="shared" si="8"/>
        <v>00</v>
      </c>
      <c r="T50" s="9" t="str">
        <f t="shared" si="9"/>
        <v>1000</v>
      </c>
      <c r="U50" s="9" t="str">
        <f t="shared" si="10"/>
        <v>001</v>
      </c>
      <c r="V50" s="9" t="str">
        <f t="shared" si="11"/>
        <v>011</v>
      </c>
      <c r="W50" s="9" t="str">
        <f t="shared" si="12"/>
        <v>0</v>
      </c>
      <c r="X50" s="9" t="str">
        <f t="shared" si="13"/>
        <v>0110100</v>
      </c>
      <c r="Y50" s="4" t="str">
        <f t="shared" si="15"/>
        <v>000010001110100100100000101100110100</v>
      </c>
    </row>
    <row r="51" spans="1:25" s="9" customFormat="1" x14ac:dyDescent="0.3">
      <c r="A51" s="4" t="s">
        <v>52</v>
      </c>
      <c r="B51" s="4">
        <v>48</v>
      </c>
      <c r="C51" s="26" t="str">
        <f t="shared" si="2"/>
        <v>0x30</v>
      </c>
      <c r="D51" s="21" t="str">
        <f t="shared" si="14"/>
        <v>0x3018C8F00</v>
      </c>
      <c r="E51" s="16" t="s">
        <v>124</v>
      </c>
      <c r="F51" s="16" t="s">
        <v>103</v>
      </c>
      <c r="G51" s="16" t="s">
        <v>110</v>
      </c>
      <c r="H51" s="16" t="s">
        <v>152</v>
      </c>
      <c r="I51" s="17" t="s">
        <v>127</v>
      </c>
      <c r="J51" s="16" t="s">
        <v>122</v>
      </c>
      <c r="K51" s="16" t="s">
        <v>114</v>
      </c>
      <c r="L51" s="17" t="s">
        <v>149</v>
      </c>
      <c r="M51" s="4" t="s">
        <v>107</v>
      </c>
      <c r="N51" s="16" t="s">
        <v>176</v>
      </c>
      <c r="O51" s="9" t="str">
        <f t="shared" si="4"/>
        <v>0011</v>
      </c>
      <c r="P51" s="9" t="str">
        <f t="shared" si="5"/>
        <v>0000</v>
      </c>
      <c r="Q51" s="9" t="str">
        <f t="shared" si="6"/>
        <v>0001</v>
      </c>
      <c r="R51" s="9" t="str">
        <f t="shared" si="7"/>
        <v>1000</v>
      </c>
      <c r="S51" s="9" t="str">
        <f t="shared" si="8"/>
        <v>11</v>
      </c>
      <c r="T51" s="9" t="str">
        <f t="shared" si="9"/>
        <v>0010</v>
      </c>
      <c r="U51" s="9" t="str">
        <f t="shared" si="10"/>
        <v>001</v>
      </c>
      <c r="V51" s="9" t="str">
        <f t="shared" si="11"/>
        <v>111</v>
      </c>
      <c r="W51" s="9" t="str">
        <f t="shared" si="12"/>
        <v>0</v>
      </c>
      <c r="X51" s="9" t="str">
        <f t="shared" si="13"/>
        <v>0000000</v>
      </c>
      <c r="Y51" s="4" t="str">
        <f t="shared" si="15"/>
        <v>001100000001100011001000111100000000</v>
      </c>
    </row>
    <row r="52" spans="1:25" s="9" customFormat="1" x14ac:dyDescent="0.3">
      <c r="A52" s="4" t="s">
        <v>53</v>
      </c>
      <c r="B52" s="4">
        <v>49</v>
      </c>
      <c r="C52" s="26" t="str">
        <f t="shared" si="2"/>
        <v>0x31</v>
      </c>
      <c r="D52" s="21" t="str">
        <f t="shared" si="14"/>
        <v>0x801500000</v>
      </c>
      <c r="E52" s="16" t="s">
        <v>150</v>
      </c>
      <c r="F52" s="16" t="s">
        <v>103</v>
      </c>
      <c r="G52" s="16" t="s">
        <v>110</v>
      </c>
      <c r="H52" s="16" t="s">
        <v>138</v>
      </c>
      <c r="I52" s="17" t="s">
        <v>104</v>
      </c>
      <c r="J52" s="16" t="s">
        <v>103</v>
      </c>
      <c r="K52" s="16" t="s">
        <v>105</v>
      </c>
      <c r="L52" s="17" t="s">
        <v>106</v>
      </c>
      <c r="M52" s="4" t="s">
        <v>107</v>
      </c>
      <c r="N52" s="16" t="s">
        <v>175</v>
      </c>
      <c r="O52" s="9" t="str">
        <f t="shared" si="4"/>
        <v>1000</v>
      </c>
      <c r="P52" s="9" t="str">
        <f t="shared" si="5"/>
        <v>0000</v>
      </c>
      <c r="Q52" s="9" t="str">
        <f t="shared" si="6"/>
        <v>0001</v>
      </c>
      <c r="R52" s="9" t="str">
        <f t="shared" si="7"/>
        <v>0101</v>
      </c>
      <c r="S52" s="9" t="str">
        <f t="shared" si="8"/>
        <v>00</v>
      </c>
      <c r="T52" s="9" t="str">
        <f t="shared" si="9"/>
        <v>0000</v>
      </c>
      <c r="U52" s="9" t="str">
        <f t="shared" si="10"/>
        <v>000</v>
      </c>
      <c r="V52" s="9" t="str">
        <f t="shared" si="11"/>
        <v>000</v>
      </c>
      <c r="W52" s="9" t="str">
        <f t="shared" si="12"/>
        <v>0</v>
      </c>
      <c r="X52" s="9" t="str">
        <f t="shared" si="13"/>
        <v>0000000</v>
      </c>
      <c r="Y52" s="4" t="str">
        <f t="shared" si="15"/>
        <v>100000000001010100000000000000000000</v>
      </c>
    </row>
    <row r="53" spans="1:25" s="9" customFormat="1" x14ac:dyDescent="0.3">
      <c r="A53" s="4" t="s">
        <v>234</v>
      </c>
      <c r="B53" s="4">
        <v>50</v>
      </c>
      <c r="C53" s="26" t="str">
        <f t="shared" si="2"/>
        <v>0x32</v>
      </c>
      <c r="D53" s="21" t="str">
        <f t="shared" si="14"/>
        <v>0x301880000</v>
      </c>
      <c r="E53" s="16" t="s">
        <v>124</v>
      </c>
      <c r="F53" s="16" t="s">
        <v>103</v>
      </c>
      <c r="G53" s="16" t="s">
        <v>110</v>
      </c>
      <c r="H53" s="16" t="s">
        <v>152</v>
      </c>
      <c r="I53" s="17" t="s">
        <v>121</v>
      </c>
      <c r="J53" s="16" t="s">
        <v>103</v>
      </c>
      <c r="K53" s="16" t="s">
        <v>105</v>
      </c>
      <c r="L53" s="17" t="s">
        <v>106</v>
      </c>
      <c r="M53" s="4" t="s">
        <v>107</v>
      </c>
      <c r="N53" s="16" t="s">
        <v>175</v>
      </c>
      <c r="O53" s="9" t="str">
        <f t="shared" si="4"/>
        <v>0011</v>
      </c>
      <c r="P53" s="9" t="str">
        <f t="shared" si="5"/>
        <v>0000</v>
      </c>
      <c r="Q53" s="9" t="str">
        <f t="shared" si="6"/>
        <v>0001</v>
      </c>
      <c r="R53" s="9" t="str">
        <f t="shared" si="7"/>
        <v>1000</v>
      </c>
      <c r="S53" s="9" t="str">
        <f t="shared" si="8"/>
        <v>10</v>
      </c>
      <c r="T53" s="9" t="str">
        <f t="shared" si="9"/>
        <v>0000</v>
      </c>
      <c r="U53" s="9" t="str">
        <f t="shared" si="10"/>
        <v>000</v>
      </c>
      <c r="V53" s="9" t="str">
        <f t="shared" si="11"/>
        <v>000</v>
      </c>
      <c r="W53" s="9" t="str">
        <f t="shared" si="12"/>
        <v>0</v>
      </c>
      <c r="X53" s="9" t="str">
        <f t="shared" si="13"/>
        <v>0000000</v>
      </c>
      <c r="Y53" s="4" t="str">
        <f t="shared" si="15"/>
        <v>001100000001100010000000000000000000</v>
      </c>
    </row>
    <row r="54" spans="1:25" s="9" customFormat="1" x14ac:dyDescent="0.3">
      <c r="A54" s="4" t="s">
        <v>234</v>
      </c>
      <c r="B54" s="4">
        <v>51</v>
      </c>
      <c r="C54" s="26" t="str">
        <f t="shared" si="2"/>
        <v>0x33</v>
      </c>
      <c r="D54" s="21" t="str">
        <f t="shared" si="14"/>
        <v>0x401804B34</v>
      </c>
      <c r="E54" s="16" t="s">
        <v>130</v>
      </c>
      <c r="F54" s="16" t="s">
        <v>103</v>
      </c>
      <c r="G54" s="16" t="s">
        <v>110</v>
      </c>
      <c r="H54" s="16" t="s">
        <v>152</v>
      </c>
      <c r="I54" s="17" t="s">
        <v>104</v>
      </c>
      <c r="J54" s="16" t="s">
        <v>113</v>
      </c>
      <c r="K54" s="16" t="s">
        <v>114</v>
      </c>
      <c r="L54" s="17" t="s">
        <v>129</v>
      </c>
      <c r="M54" s="4" t="s">
        <v>107</v>
      </c>
      <c r="N54" s="16" t="s">
        <v>196</v>
      </c>
      <c r="O54" s="9" t="str">
        <f t="shared" si="4"/>
        <v>0100</v>
      </c>
      <c r="P54" s="9" t="str">
        <f t="shared" si="5"/>
        <v>0000</v>
      </c>
      <c r="Q54" s="9" t="str">
        <f t="shared" si="6"/>
        <v>0001</v>
      </c>
      <c r="R54" s="9" t="str">
        <f t="shared" si="7"/>
        <v>1000</v>
      </c>
      <c r="S54" s="9" t="str">
        <f t="shared" si="8"/>
        <v>00</v>
      </c>
      <c r="T54" s="9" t="str">
        <f t="shared" si="9"/>
        <v>0001</v>
      </c>
      <c r="U54" s="9" t="str">
        <f t="shared" si="10"/>
        <v>001</v>
      </c>
      <c r="V54" s="9" t="str">
        <f t="shared" si="11"/>
        <v>011</v>
      </c>
      <c r="W54" s="9" t="str">
        <f t="shared" si="12"/>
        <v>0</v>
      </c>
      <c r="X54" s="9" t="str">
        <f t="shared" si="13"/>
        <v>0110100</v>
      </c>
      <c r="Y54" s="4" t="str">
        <f t="shared" si="15"/>
        <v>010000000001100000000100101100110100</v>
      </c>
    </row>
    <row r="55" spans="1:25" s="9" customFormat="1" x14ac:dyDescent="0.3">
      <c r="A55" s="4" t="s">
        <v>54</v>
      </c>
      <c r="B55" s="4">
        <v>52</v>
      </c>
      <c r="C55" s="26" t="str">
        <f t="shared" si="2"/>
        <v>0x34</v>
      </c>
      <c r="D55" s="21" t="str">
        <f t="shared" si="14"/>
        <v>0x000000802</v>
      </c>
      <c r="E55" s="16" t="s">
        <v>103</v>
      </c>
      <c r="F55" s="16" t="s">
        <v>103</v>
      </c>
      <c r="G55" s="16" t="s">
        <v>103</v>
      </c>
      <c r="H55" s="16" t="s">
        <v>103</v>
      </c>
      <c r="I55" s="17" t="s">
        <v>104</v>
      </c>
      <c r="J55" s="16" t="s">
        <v>103</v>
      </c>
      <c r="K55" s="16" t="s">
        <v>114</v>
      </c>
      <c r="L55" s="17" t="s">
        <v>106</v>
      </c>
      <c r="M55" s="4" t="s">
        <v>107</v>
      </c>
      <c r="N55" s="16" t="s">
        <v>193</v>
      </c>
      <c r="O55" s="9" t="str">
        <f t="shared" ref="O55:R56" si="17">MID(E55,FIND(": ",E55)+2, 4)</f>
        <v>0000</v>
      </c>
      <c r="P55" s="9" t="str">
        <f t="shared" si="17"/>
        <v>0000</v>
      </c>
      <c r="Q55" s="9" t="str">
        <f t="shared" si="17"/>
        <v>0000</v>
      </c>
      <c r="R55" s="9" t="str">
        <f t="shared" si="17"/>
        <v>0000</v>
      </c>
      <c r="S55" s="9" t="str">
        <f>MID(I55,FIND(": ",I55)+2, 2)</f>
        <v>00</v>
      </c>
      <c r="T55" s="9" t="str">
        <f>MID(J55,FIND(": ",J55)+2, 4)</f>
        <v>0000</v>
      </c>
      <c r="U55" s="9" t="str">
        <f>MID(K55,FIND(": ",K55)+2, 3)</f>
        <v>001</v>
      </c>
      <c r="V55" s="9" t="str">
        <f>MID(L55,FIND(": ",L55)+2, 3)</f>
        <v>000</v>
      </c>
      <c r="W55" s="9" t="str">
        <f>MID(M55,FIND(": ",M55)+2, 1)</f>
        <v>0</v>
      </c>
      <c r="X55" s="9" t="str">
        <f>MID(N55,FIND(": ",N55)+2, 7)</f>
        <v>0000010</v>
      </c>
      <c r="Y55" s="4" t="str">
        <f t="shared" si="15"/>
        <v>000000000000000000000000100000000010</v>
      </c>
    </row>
    <row r="56" spans="1:25" s="9" customFormat="1" x14ac:dyDescent="0.3">
      <c r="A56" s="4" t="s">
        <v>235</v>
      </c>
      <c r="B56" s="4">
        <v>53</v>
      </c>
      <c r="C56" s="26" t="str">
        <f t="shared" si="2"/>
        <v>0x35</v>
      </c>
      <c r="D56" s="21" t="str">
        <f t="shared" si="14"/>
        <v>0x901300F00</v>
      </c>
      <c r="E56" s="16" t="s">
        <v>153</v>
      </c>
      <c r="F56" s="16" t="s">
        <v>103</v>
      </c>
      <c r="G56" s="16" t="s">
        <v>110</v>
      </c>
      <c r="H56" s="16" t="s">
        <v>126</v>
      </c>
      <c r="I56" s="17" t="s">
        <v>104</v>
      </c>
      <c r="J56" s="16" t="s">
        <v>103</v>
      </c>
      <c r="K56" s="16" t="s">
        <v>114</v>
      </c>
      <c r="L56" s="17" t="s">
        <v>149</v>
      </c>
      <c r="M56" s="4" t="s">
        <v>107</v>
      </c>
      <c r="N56" s="16" t="s">
        <v>176</v>
      </c>
      <c r="O56" s="9" t="str">
        <f t="shared" si="17"/>
        <v>1001</v>
      </c>
      <c r="P56" s="9" t="str">
        <f t="shared" si="17"/>
        <v>0000</v>
      </c>
      <c r="Q56" s="9" t="str">
        <f t="shared" si="17"/>
        <v>0001</v>
      </c>
      <c r="R56" s="9" t="str">
        <f t="shared" si="17"/>
        <v>0011</v>
      </c>
      <c r="S56" s="9" t="str">
        <f>MID(I56,FIND(": ",I56)+2, 2)</f>
        <v>00</v>
      </c>
      <c r="T56" s="9" t="str">
        <f>MID(J56,FIND(": ",J56)+2, 4)</f>
        <v>0000</v>
      </c>
      <c r="U56" s="9" t="str">
        <f>MID(K56,FIND(": ",K56)+2, 3)</f>
        <v>001</v>
      </c>
      <c r="V56" s="9" t="str">
        <f>MID(L56,FIND(": ",L56)+2, 3)</f>
        <v>111</v>
      </c>
      <c r="W56" s="9" t="str">
        <f>MID(M56,FIND(": ",M56)+2, 1)</f>
        <v>0</v>
      </c>
      <c r="X56" s="9" t="str">
        <f>MID(N56,FIND(": ",N56)+2, 7)</f>
        <v>0000000</v>
      </c>
      <c r="Y56" s="4" t="str">
        <f t="shared" si="15"/>
        <v>100100000001001100000000111100000000</v>
      </c>
    </row>
    <row r="57" spans="1:25" s="9" customFormat="1" x14ac:dyDescent="0.3">
      <c r="A57" s="4" t="s">
        <v>235</v>
      </c>
      <c r="B57" s="4">
        <v>54</v>
      </c>
      <c r="C57" s="26" t="str">
        <f t="shared" si="2"/>
        <v>0x36</v>
      </c>
      <c r="D57" s="21" t="str">
        <f t="shared" si="14"/>
        <v>0x0000C0F00</v>
      </c>
      <c r="E57" s="16" t="s">
        <v>103</v>
      </c>
      <c r="F57" s="16" t="s">
        <v>103</v>
      </c>
      <c r="G57" s="16" t="s">
        <v>103</v>
      </c>
      <c r="H57" s="16" t="s">
        <v>103</v>
      </c>
      <c r="I57" s="17" t="s">
        <v>127</v>
      </c>
      <c r="J57" s="16" t="s">
        <v>103</v>
      </c>
      <c r="K57" s="16" t="s">
        <v>114</v>
      </c>
      <c r="L57" s="17" t="s">
        <v>149</v>
      </c>
      <c r="M57" s="4" t="s">
        <v>107</v>
      </c>
      <c r="N57" s="16" t="s">
        <v>176</v>
      </c>
      <c r="O57" s="9" t="str">
        <f t="shared" si="4"/>
        <v>0000</v>
      </c>
      <c r="P57" s="9" t="str">
        <f t="shared" si="5"/>
        <v>0000</v>
      </c>
      <c r="Q57" s="9" t="str">
        <f t="shared" si="6"/>
        <v>0000</v>
      </c>
      <c r="R57" s="9" t="str">
        <f t="shared" si="7"/>
        <v>0000</v>
      </c>
      <c r="S57" s="9" t="str">
        <f t="shared" si="8"/>
        <v>11</v>
      </c>
      <c r="T57" s="9" t="str">
        <f t="shared" si="9"/>
        <v>0000</v>
      </c>
      <c r="U57" s="9" t="str">
        <f t="shared" si="10"/>
        <v>001</v>
      </c>
      <c r="V57" s="9" t="str">
        <f t="shared" si="11"/>
        <v>111</v>
      </c>
      <c r="W57" s="9" t="str">
        <f t="shared" si="12"/>
        <v>0</v>
      </c>
      <c r="X57" s="9" t="str">
        <f t="shared" si="13"/>
        <v>0000000</v>
      </c>
      <c r="Y57" s="4" t="str">
        <f t="shared" si="15"/>
        <v>000000000000000011000000111100000000</v>
      </c>
    </row>
    <row r="58" spans="1:25" s="9" customFormat="1" x14ac:dyDescent="0.3">
      <c r="A58" s="4" t="s">
        <v>235</v>
      </c>
      <c r="B58" s="4">
        <v>55</v>
      </c>
      <c r="C58" s="26" t="str">
        <f t="shared" si="2"/>
        <v>0x37</v>
      </c>
      <c r="D58" s="21" t="str">
        <f t="shared" si="14"/>
        <v>0x0000C0F00</v>
      </c>
      <c r="E58" s="16" t="s">
        <v>103</v>
      </c>
      <c r="F58" s="16" t="s">
        <v>103</v>
      </c>
      <c r="G58" s="16" t="s">
        <v>103</v>
      </c>
      <c r="H58" s="16" t="s">
        <v>103</v>
      </c>
      <c r="I58" s="17" t="s">
        <v>127</v>
      </c>
      <c r="J58" s="16" t="s">
        <v>103</v>
      </c>
      <c r="K58" s="16" t="s">
        <v>114</v>
      </c>
      <c r="L58" s="17" t="s">
        <v>149</v>
      </c>
      <c r="M58" s="4" t="s">
        <v>107</v>
      </c>
      <c r="N58" s="16" t="s">
        <v>176</v>
      </c>
      <c r="O58" s="9" t="str">
        <f t="shared" si="4"/>
        <v>0000</v>
      </c>
      <c r="P58" s="9" t="str">
        <f t="shared" si="5"/>
        <v>0000</v>
      </c>
      <c r="Q58" s="9" t="str">
        <f t="shared" si="6"/>
        <v>0000</v>
      </c>
      <c r="R58" s="9" t="str">
        <f t="shared" si="7"/>
        <v>0000</v>
      </c>
      <c r="S58" s="9" t="str">
        <f t="shared" si="8"/>
        <v>11</v>
      </c>
      <c r="T58" s="9" t="str">
        <f t="shared" si="9"/>
        <v>0000</v>
      </c>
      <c r="U58" s="9" t="str">
        <f t="shared" si="10"/>
        <v>001</v>
      </c>
      <c r="V58" s="9" t="str">
        <f t="shared" si="11"/>
        <v>111</v>
      </c>
      <c r="W58" s="9" t="str">
        <f t="shared" si="12"/>
        <v>0</v>
      </c>
      <c r="X58" s="9" t="str">
        <f t="shared" si="13"/>
        <v>0000000</v>
      </c>
      <c r="Y58" s="4" t="str">
        <f t="shared" si="15"/>
        <v>000000000000000011000000111100000000</v>
      </c>
    </row>
    <row r="59" spans="1:25" s="9" customFormat="1" x14ac:dyDescent="0.3">
      <c r="A59" s="4" t="s">
        <v>55</v>
      </c>
      <c r="B59" s="4">
        <v>56</v>
      </c>
      <c r="C59" s="26" t="str">
        <f t="shared" si="2"/>
        <v>0x38</v>
      </c>
      <c r="D59" s="21" t="str">
        <f t="shared" si="14"/>
        <v>0x000002B54</v>
      </c>
      <c r="E59" s="16" t="s">
        <v>103</v>
      </c>
      <c r="F59" s="16" t="s">
        <v>103</v>
      </c>
      <c r="G59" s="16" t="s">
        <v>103</v>
      </c>
      <c r="H59" s="16" t="s">
        <v>103</v>
      </c>
      <c r="I59" s="17" t="s">
        <v>104</v>
      </c>
      <c r="J59" s="16" t="s">
        <v>103</v>
      </c>
      <c r="K59" s="16" t="s">
        <v>210</v>
      </c>
      <c r="L59" s="17" t="s">
        <v>129</v>
      </c>
      <c r="M59" s="4" t="s">
        <v>107</v>
      </c>
      <c r="N59" s="16" t="s">
        <v>213</v>
      </c>
      <c r="O59" s="9" t="str">
        <f t="shared" si="4"/>
        <v>0000</v>
      </c>
      <c r="P59" s="9" t="str">
        <f t="shared" si="5"/>
        <v>0000</v>
      </c>
      <c r="Q59" s="9" t="str">
        <f t="shared" si="6"/>
        <v>0000</v>
      </c>
      <c r="R59" s="9" t="str">
        <f t="shared" si="7"/>
        <v>0000</v>
      </c>
      <c r="S59" s="9" t="str">
        <f t="shared" si="8"/>
        <v>00</v>
      </c>
      <c r="T59" s="9" t="str">
        <f t="shared" si="9"/>
        <v>0000</v>
      </c>
      <c r="U59" s="9" t="str">
        <f t="shared" si="10"/>
        <v>101</v>
      </c>
      <c r="V59" s="9" t="str">
        <f t="shared" si="11"/>
        <v>011</v>
      </c>
      <c r="W59" s="9" t="str">
        <f t="shared" si="12"/>
        <v>0</v>
      </c>
      <c r="X59" s="9" t="str">
        <f t="shared" si="13"/>
        <v>1010100</v>
      </c>
      <c r="Y59" s="4" t="str">
        <f t="shared" si="15"/>
        <v>000000000000000000000010101101010100</v>
      </c>
    </row>
    <row r="60" spans="1:25" s="9" customFormat="1" x14ac:dyDescent="0.3">
      <c r="A60" s="4" t="s">
        <v>236</v>
      </c>
      <c r="B60" s="4">
        <v>57</v>
      </c>
      <c r="C60" s="26" t="str">
        <f t="shared" si="2"/>
        <v>0x39</v>
      </c>
      <c r="D60" s="21" t="str">
        <f t="shared" si="14"/>
        <v>0x000000F00</v>
      </c>
      <c r="E60" s="16" t="s">
        <v>103</v>
      </c>
      <c r="F60" s="16" t="s">
        <v>103</v>
      </c>
      <c r="G60" s="16" t="s">
        <v>103</v>
      </c>
      <c r="H60" s="16" t="s">
        <v>103</v>
      </c>
      <c r="I60" s="17" t="s">
        <v>104</v>
      </c>
      <c r="J60" s="16" t="s">
        <v>103</v>
      </c>
      <c r="K60" s="16" t="s">
        <v>114</v>
      </c>
      <c r="L60" s="17" t="s">
        <v>149</v>
      </c>
      <c r="M60" s="4" t="s">
        <v>107</v>
      </c>
      <c r="N60" s="16" t="s">
        <v>176</v>
      </c>
      <c r="O60" s="9" t="str">
        <f t="shared" si="4"/>
        <v>0000</v>
      </c>
      <c r="P60" s="9" t="str">
        <f t="shared" si="5"/>
        <v>0000</v>
      </c>
      <c r="Q60" s="9" t="str">
        <f t="shared" si="6"/>
        <v>0000</v>
      </c>
      <c r="R60" s="9" t="str">
        <f t="shared" si="7"/>
        <v>0000</v>
      </c>
      <c r="S60" s="9" t="str">
        <f t="shared" si="8"/>
        <v>00</v>
      </c>
      <c r="T60" s="9" t="str">
        <f t="shared" si="9"/>
        <v>0000</v>
      </c>
      <c r="U60" s="9" t="str">
        <f t="shared" si="10"/>
        <v>001</v>
      </c>
      <c r="V60" s="9" t="str">
        <f t="shared" si="11"/>
        <v>111</v>
      </c>
      <c r="W60" s="9" t="str">
        <f t="shared" si="12"/>
        <v>0</v>
      </c>
      <c r="X60" s="9" t="str">
        <f t="shared" si="13"/>
        <v>0000000</v>
      </c>
      <c r="Y60" s="4" t="str">
        <f t="shared" si="15"/>
        <v>000000000000000000000000111100000000</v>
      </c>
    </row>
    <row r="61" spans="1:25" s="9" customFormat="1" x14ac:dyDescent="0.3">
      <c r="A61" s="4" t="s">
        <v>56</v>
      </c>
      <c r="B61" s="4">
        <v>58</v>
      </c>
      <c r="C61" s="26" t="str">
        <f t="shared" si="2"/>
        <v>0x3A</v>
      </c>
      <c r="D61" s="21" t="str">
        <f t="shared" si="14"/>
        <v>0x000002BD4</v>
      </c>
      <c r="E61" s="16" t="s">
        <v>103</v>
      </c>
      <c r="F61" s="16" t="s">
        <v>103</v>
      </c>
      <c r="G61" s="16" t="s">
        <v>103</v>
      </c>
      <c r="H61" s="16" t="s">
        <v>103</v>
      </c>
      <c r="I61" s="17" t="s">
        <v>104</v>
      </c>
      <c r="J61" s="16" t="s">
        <v>103</v>
      </c>
      <c r="K61" s="16" t="s">
        <v>210</v>
      </c>
      <c r="L61" s="17" t="s">
        <v>129</v>
      </c>
      <c r="M61" s="4" t="s">
        <v>116</v>
      </c>
      <c r="N61" s="16" t="s">
        <v>213</v>
      </c>
      <c r="O61" s="9" t="str">
        <f t="shared" si="4"/>
        <v>0000</v>
      </c>
      <c r="P61" s="9" t="str">
        <f t="shared" si="5"/>
        <v>0000</v>
      </c>
      <c r="Q61" s="9" t="str">
        <f t="shared" si="6"/>
        <v>0000</v>
      </c>
      <c r="R61" s="9" t="str">
        <f t="shared" si="7"/>
        <v>0000</v>
      </c>
      <c r="S61" s="9" t="str">
        <f t="shared" si="8"/>
        <v>00</v>
      </c>
      <c r="T61" s="9" t="str">
        <f t="shared" si="9"/>
        <v>0000</v>
      </c>
      <c r="U61" s="9" t="str">
        <f t="shared" si="10"/>
        <v>101</v>
      </c>
      <c r="V61" s="9" t="str">
        <f t="shared" si="11"/>
        <v>011</v>
      </c>
      <c r="W61" s="9" t="str">
        <f t="shared" si="12"/>
        <v>1</v>
      </c>
      <c r="X61" s="9" t="str">
        <f t="shared" si="13"/>
        <v>1010100</v>
      </c>
      <c r="Y61" s="4" t="str">
        <f t="shared" si="15"/>
        <v>000000000000000000000010101111010100</v>
      </c>
    </row>
    <row r="62" spans="1:25" s="9" customFormat="1" x14ac:dyDescent="0.3">
      <c r="A62" s="4" t="s">
        <v>237</v>
      </c>
      <c r="B62" s="4">
        <v>59</v>
      </c>
      <c r="C62" s="26" t="str">
        <f t="shared" si="2"/>
        <v>0x3B</v>
      </c>
      <c r="D62" s="21" t="str">
        <f t="shared" si="14"/>
        <v>0x000000F00</v>
      </c>
      <c r="E62" s="16" t="s">
        <v>103</v>
      </c>
      <c r="F62" s="16" t="s">
        <v>103</v>
      </c>
      <c r="G62" s="16" t="s">
        <v>103</v>
      </c>
      <c r="H62" s="16" t="s">
        <v>103</v>
      </c>
      <c r="I62" s="17" t="s">
        <v>104</v>
      </c>
      <c r="J62" s="16" t="s">
        <v>103</v>
      </c>
      <c r="K62" s="16" t="s">
        <v>114</v>
      </c>
      <c r="L62" s="17" t="s">
        <v>149</v>
      </c>
      <c r="M62" s="4" t="s">
        <v>107</v>
      </c>
      <c r="N62" s="16" t="s">
        <v>176</v>
      </c>
      <c r="O62" s="9" t="str">
        <f t="shared" si="4"/>
        <v>0000</v>
      </c>
      <c r="P62" s="9" t="str">
        <f t="shared" si="5"/>
        <v>0000</v>
      </c>
      <c r="Q62" s="9" t="str">
        <f t="shared" si="6"/>
        <v>0000</v>
      </c>
      <c r="R62" s="9" t="str">
        <f t="shared" si="7"/>
        <v>0000</v>
      </c>
      <c r="S62" s="9" t="str">
        <f t="shared" si="8"/>
        <v>00</v>
      </c>
      <c r="T62" s="9" t="str">
        <f t="shared" si="9"/>
        <v>0000</v>
      </c>
      <c r="U62" s="9" t="str">
        <f t="shared" si="10"/>
        <v>001</v>
      </c>
      <c r="V62" s="9" t="str">
        <f t="shared" si="11"/>
        <v>111</v>
      </c>
      <c r="W62" s="9" t="str">
        <f t="shared" si="12"/>
        <v>0</v>
      </c>
      <c r="X62" s="9" t="str">
        <f t="shared" si="13"/>
        <v>0000000</v>
      </c>
      <c r="Y62" s="4" t="str">
        <f t="shared" si="15"/>
        <v>000000000000000000000000111100000000</v>
      </c>
    </row>
    <row r="63" spans="1:25" s="9" customFormat="1" x14ac:dyDescent="0.3">
      <c r="A63" s="4" t="s">
        <v>57</v>
      </c>
      <c r="B63" s="4">
        <v>60</v>
      </c>
      <c r="C63" s="26" t="str">
        <f t="shared" si="2"/>
        <v>0x3C</v>
      </c>
      <c r="D63" s="21" t="str">
        <f t="shared" si="14"/>
        <v>0x000003354</v>
      </c>
      <c r="E63" s="16" t="s">
        <v>103</v>
      </c>
      <c r="F63" s="16" t="s">
        <v>103</v>
      </c>
      <c r="G63" s="16" t="s">
        <v>103</v>
      </c>
      <c r="H63" s="16" t="s">
        <v>103</v>
      </c>
      <c r="I63" s="17" t="s">
        <v>104</v>
      </c>
      <c r="J63" s="16" t="s">
        <v>103</v>
      </c>
      <c r="K63" s="16" t="s">
        <v>211</v>
      </c>
      <c r="L63" s="17" t="s">
        <v>129</v>
      </c>
      <c r="M63" s="4" t="s">
        <v>107</v>
      </c>
      <c r="N63" s="16" t="s">
        <v>213</v>
      </c>
      <c r="O63" s="9" t="str">
        <f t="shared" si="4"/>
        <v>0000</v>
      </c>
      <c r="P63" s="9" t="str">
        <f t="shared" si="5"/>
        <v>0000</v>
      </c>
      <c r="Q63" s="9" t="str">
        <f t="shared" si="6"/>
        <v>0000</v>
      </c>
      <c r="R63" s="9" t="str">
        <f t="shared" si="7"/>
        <v>0000</v>
      </c>
      <c r="S63" s="9" t="str">
        <f t="shared" si="8"/>
        <v>00</v>
      </c>
      <c r="T63" s="9" t="str">
        <f t="shared" si="9"/>
        <v>0000</v>
      </c>
      <c r="U63" s="9" t="str">
        <f t="shared" si="10"/>
        <v>110</v>
      </c>
      <c r="V63" s="9" t="str">
        <f t="shared" si="11"/>
        <v>011</v>
      </c>
      <c r="W63" s="9" t="str">
        <f t="shared" si="12"/>
        <v>0</v>
      </c>
      <c r="X63" s="9" t="str">
        <f t="shared" si="13"/>
        <v>1010100</v>
      </c>
      <c r="Y63" s="4" t="str">
        <f t="shared" si="15"/>
        <v>000000000000000000000011001101010100</v>
      </c>
    </row>
    <row r="64" spans="1:25" s="9" customFormat="1" x14ac:dyDescent="0.3">
      <c r="A64" s="4" t="s">
        <v>238</v>
      </c>
      <c r="B64" s="4">
        <v>61</v>
      </c>
      <c r="C64" s="26" t="str">
        <f t="shared" si="2"/>
        <v>0x3D</v>
      </c>
      <c r="D64" s="21" t="str">
        <f t="shared" si="14"/>
        <v>0x000000F00</v>
      </c>
      <c r="E64" s="16" t="s">
        <v>103</v>
      </c>
      <c r="F64" s="16" t="s">
        <v>103</v>
      </c>
      <c r="G64" s="16" t="s">
        <v>103</v>
      </c>
      <c r="H64" s="16" t="s">
        <v>103</v>
      </c>
      <c r="I64" s="17" t="s">
        <v>104</v>
      </c>
      <c r="J64" s="16" t="s">
        <v>103</v>
      </c>
      <c r="K64" s="16" t="s">
        <v>114</v>
      </c>
      <c r="L64" s="17" t="s">
        <v>149</v>
      </c>
      <c r="M64" s="4" t="s">
        <v>107</v>
      </c>
      <c r="N64" s="16" t="s">
        <v>176</v>
      </c>
      <c r="O64" s="9" t="str">
        <f t="shared" si="4"/>
        <v>0000</v>
      </c>
      <c r="P64" s="9" t="str">
        <f t="shared" si="5"/>
        <v>0000</v>
      </c>
      <c r="Q64" s="9" t="str">
        <f t="shared" si="6"/>
        <v>0000</v>
      </c>
      <c r="R64" s="9" t="str">
        <f t="shared" si="7"/>
        <v>0000</v>
      </c>
      <c r="S64" s="9" t="str">
        <f t="shared" si="8"/>
        <v>00</v>
      </c>
      <c r="T64" s="9" t="str">
        <f t="shared" si="9"/>
        <v>0000</v>
      </c>
      <c r="U64" s="9" t="str">
        <f t="shared" si="10"/>
        <v>001</v>
      </c>
      <c r="V64" s="9" t="str">
        <f t="shared" si="11"/>
        <v>111</v>
      </c>
      <c r="W64" s="9" t="str">
        <f t="shared" si="12"/>
        <v>0</v>
      </c>
      <c r="X64" s="9" t="str">
        <f t="shared" si="13"/>
        <v>0000000</v>
      </c>
      <c r="Y64" s="4" t="str">
        <f t="shared" si="15"/>
        <v>000000000000000000000000111100000000</v>
      </c>
    </row>
    <row r="65" spans="1:25" s="9" customFormat="1" x14ac:dyDescent="0.3">
      <c r="A65" s="4" t="s">
        <v>58</v>
      </c>
      <c r="B65" s="4">
        <v>62</v>
      </c>
      <c r="C65" s="26" t="str">
        <f t="shared" si="2"/>
        <v>0x3E</v>
      </c>
      <c r="D65" s="21" t="str">
        <f t="shared" si="14"/>
        <v>0x0000033D4</v>
      </c>
      <c r="E65" s="16" t="s">
        <v>103</v>
      </c>
      <c r="F65" s="16" t="s">
        <v>103</v>
      </c>
      <c r="G65" s="16" t="s">
        <v>103</v>
      </c>
      <c r="H65" s="16" t="s">
        <v>103</v>
      </c>
      <c r="I65" s="17" t="s">
        <v>104</v>
      </c>
      <c r="J65" s="16" t="s">
        <v>103</v>
      </c>
      <c r="K65" s="16" t="s">
        <v>211</v>
      </c>
      <c r="L65" s="17" t="s">
        <v>129</v>
      </c>
      <c r="M65" s="4" t="s">
        <v>116</v>
      </c>
      <c r="N65" s="16" t="s">
        <v>213</v>
      </c>
      <c r="O65" s="9" t="str">
        <f t="shared" si="4"/>
        <v>0000</v>
      </c>
      <c r="P65" s="9" t="str">
        <f t="shared" si="5"/>
        <v>0000</v>
      </c>
      <c r="Q65" s="9" t="str">
        <f t="shared" si="6"/>
        <v>0000</v>
      </c>
      <c r="R65" s="9" t="str">
        <f t="shared" si="7"/>
        <v>0000</v>
      </c>
      <c r="S65" s="9" t="str">
        <f t="shared" si="8"/>
        <v>00</v>
      </c>
      <c r="T65" s="9" t="str">
        <f t="shared" si="9"/>
        <v>0000</v>
      </c>
      <c r="U65" s="9" t="str">
        <f t="shared" si="10"/>
        <v>110</v>
      </c>
      <c r="V65" s="9" t="str">
        <f t="shared" si="11"/>
        <v>011</v>
      </c>
      <c r="W65" s="9" t="str">
        <f t="shared" si="12"/>
        <v>1</v>
      </c>
      <c r="X65" s="9" t="str">
        <f t="shared" si="13"/>
        <v>1010100</v>
      </c>
      <c r="Y65" s="4" t="str">
        <f t="shared" si="15"/>
        <v>000000000000000000000011001111010100</v>
      </c>
    </row>
    <row r="66" spans="1:25" s="9" customFormat="1" x14ac:dyDescent="0.3">
      <c r="A66" s="4" t="s">
        <v>239</v>
      </c>
      <c r="B66" s="4">
        <v>63</v>
      </c>
      <c r="C66" s="26" t="str">
        <f t="shared" si="2"/>
        <v>0x3F</v>
      </c>
      <c r="D66" s="21" t="str">
        <f t="shared" si="14"/>
        <v>0x000000F00</v>
      </c>
      <c r="E66" s="16" t="s">
        <v>103</v>
      </c>
      <c r="F66" s="16" t="s">
        <v>103</v>
      </c>
      <c r="G66" s="16" t="s">
        <v>103</v>
      </c>
      <c r="H66" s="16" t="s">
        <v>103</v>
      </c>
      <c r="I66" s="17" t="s">
        <v>104</v>
      </c>
      <c r="J66" s="16" t="s">
        <v>103</v>
      </c>
      <c r="K66" s="16" t="s">
        <v>114</v>
      </c>
      <c r="L66" s="17" t="s">
        <v>149</v>
      </c>
      <c r="M66" s="4" t="s">
        <v>107</v>
      </c>
      <c r="N66" s="16" t="s">
        <v>176</v>
      </c>
      <c r="O66" s="9" t="str">
        <f t="shared" si="4"/>
        <v>0000</v>
      </c>
      <c r="P66" s="9" t="str">
        <f t="shared" si="5"/>
        <v>0000</v>
      </c>
      <c r="Q66" s="9" t="str">
        <f t="shared" si="6"/>
        <v>0000</v>
      </c>
      <c r="R66" s="9" t="str">
        <f t="shared" si="7"/>
        <v>0000</v>
      </c>
      <c r="S66" s="9" t="str">
        <f t="shared" si="8"/>
        <v>00</v>
      </c>
      <c r="T66" s="9" t="str">
        <f t="shared" si="9"/>
        <v>0000</v>
      </c>
      <c r="U66" s="9" t="str">
        <f t="shared" si="10"/>
        <v>001</v>
      </c>
      <c r="V66" s="9" t="str">
        <f t="shared" si="11"/>
        <v>111</v>
      </c>
      <c r="W66" s="9" t="str">
        <f t="shared" si="12"/>
        <v>0</v>
      </c>
      <c r="X66" s="9" t="str">
        <f t="shared" si="13"/>
        <v>0000000</v>
      </c>
      <c r="Y66" s="4" t="str">
        <f t="shared" si="15"/>
        <v>000000000000000000000000111100000000</v>
      </c>
    </row>
    <row r="67" spans="1:25" s="9" customFormat="1" x14ac:dyDescent="0.3">
      <c r="A67" s="4" t="s">
        <v>59</v>
      </c>
      <c r="B67" s="4">
        <v>64</v>
      </c>
      <c r="C67" s="26" t="str">
        <f t="shared" si="2"/>
        <v>0x40</v>
      </c>
      <c r="D67" s="21" t="str">
        <f t="shared" ref="D67:D98" si="18">_xlfn.CONCAT("0x",BIN2HEX(LEFT(Y67,4)),BIN2HEX(MID(Y67,5,4)), BIN2HEX(MID(Y67,9,4)), BIN2HEX(MID(Y67,13,4)), BIN2HEX(MID(Y67,17,4)), BIN2HEX(MID(Y67,21,4)), BIN2HEX(MID(Y67,25,4)), BIN2HEX(MID(Y67,29,4)), BIN2HEX(RIGHT(Y67,4)))</f>
        <v>0x000002354</v>
      </c>
      <c r="E67" s="16" t="s">
        <v>103</v>
      </c>
      <c r="F67" s="16" t="s">
        <v>103</v>
      </c>
      <c r="G67" s="16" t="s">
        <v>103</v>
      </c>
      <c r="H67" s="16" t="s">
        <v>103</v>
      </c>
      <c r="I67" s="17" t="s">
        <v>104</v>
      </c>
      <c r="J67" s="16" t="s">
        <v>103</v>
      </c>
      <c r="K67" s="16" t="s">
        <v>209</v>
      </c>
      <c r="L67" s="17" t="s">
        <v>129</v>
      </c>
      <c r="M67" s="4" t="s">
        <v>107</v>
      </c>
      <c r="N67" s="16" t="s">
        <v>213</v>
      </c>
      <c r="O67" s="9" t="str">
        <f t="shared" si="4"/>
        <v>0000</v>
      </c>
      <c r="P67" s="9" t="str">
        <f t="shared" si="5"/>
        <v>0000</v>
      </c>
      <c r="Q67" s="9" t="str">
        <f t="shared" si="6"/>
        <v>0000</v>
      </c>
      <c r="R67" s="9" t="str">
        <f t="shared" si="7"/>
        <v>0000</v>
      </c>
      <c r="S67" s="9" t="str">
        <f t="shared" si="8"/>
        <v>00</v>
      </c>
      <c r="T67" s="9" t="str">
        <f t="shared" si="9"/>
        <v>0000</v>
      </c>
      <c r="U67" s="9" t="str">
        <f t="shared" si="10"/>
        <v>100</v>
      </c>
      <c r="V67" s="9" t="str">
        <f t="shared" si="11"/>
        <v>011</v>
      </c>
      <c r="W67" s="9" t="str">
        <f t="shared" si="12"/>
        <v>0</v>
      </c>
      <c r="X67" s="9" t="str">
        <f t="shared" si="13"/>
        <v>1010100</v>
      </c>
      <c r="Y67" s="4" t="str">
        <f t="shared" ref="Y67:Y98" si="19">_xlfn.CONCAT(O67, P67, Q67, R67, S67, T67, U67, V67, W67, X67)</f>
        <v>000000000000000000000010001101010100</v>
      </c>
    </row>
    <row r="68" spans="1:25" s="9" customFormat="1" x14ac:dyDescent="0.3">
      <c r="A68" s="4" t="s">
        <v>240</v>
      </c>
      <c r="B68" s="4">
        <v>65</v>
      </c>
      <c r="C68" s="26" t="str">
        <f t="shared" ref="C68:C118" si="20">_xlfn.CONCAT("0x",DEC2HEX(B68))</f>
        <v>0x41</v>
      </c>
      <c r="D68" s="21" t="str">
        <f t="shared" si="18"/>
        <v>0x000000F00</v>
      </c>
      <c r="E68" s="16" t="s">
        <v>103</v>
      </c>
      <c r="F68" s="16" t="s">
        <v>103</v>
      </c>
      <c r="G68" s="16" t="s">
        <v>103</v>
      </c>
      <c r="H68" s="16" t="s">
        <v>103</v>
      </c>
      <c r="I68" s="17" t="s">
        <v>104</v>
      </c>
      <c r="J68" s="16" t="s">
        <v>103</v>
      </c>
      <c r="K68" s="16" t="s">
        <v>114</v>
      </c>
      <c r="L68" s="17" t="s">
        <v>149</v>
      </c>
      <c r="M68" s="4" t="s">
        <v>107</v>
      </c>
      <c r="N68" s="16" t="s">
        <v>176</v>
      </c>
      <c r="O68" s="9" t="str">
        <f t="shared" si="4"/>
        <v>0000</v>
      </c>
      <c r="P68" s="9" t="str">
        <f t="shared" si="5"/>
        <v>0000</v>
      </c>
      <c r="Q68" s="9" t="str">
        <f t="shared" si="6"/>
        <v>0000</v>
      </c>
      <c r="R68" s="9" t="str">
        <f t="shared" si="7"/>
        <v>0000</v>
      </c>
      <c r="S68" s="9" t="str">
        <f t="shared" si="8"/>
        <v>00</v>
      </c>
      <c r="T68" s="9" t="str">
        <f t="shared" si="9"/>
        <v>0000</v>
      </c>
      <c r="U68" s="9" t="str">
        <f t="shared" si="10"/>
        <v>001</v>
      </c>
      <c r="V68" s="9" t="str">
        <f t="shared" si="11"/>
        <v>111</v>
      </c>
      <c r="W68" s="9" t="str">
        <f t="shared" si="12"/>
        <v>0</v>
      </c>
      <c r="X68" s="9" t="str">
        <f t="shared" si="13"/>
        <v>0000000</v>
      </c>
      <c r="Y68" s="4" t="str">
        <f t="shared" si="19"/>
        <v>000000000000000000000000111100000000</v>
      </c>
    </row>
    <row r="69" spans="1:25" s="9" customFormat="1" x14ac:dyDescent="0.3">
      <c r="A69" s="4" t="s">
        <v>60</v>
      </c>
      <c r="B69" s="4">
        <v>66</v>
      </c>
      <c r="C69" s="26" t="str">
        <f t="shared" si="20"/>
        <v>0x42</v>
      </c>
      <c r="D69" s="21" t="str">
        <f t="shared" si="18"/>
        <v>0x0000023D4</v>
      </c>
      <c r="E69" s="16" t="s">
        <v>103</v>
      </c>
      <c r="F69" s="16" t="s">
        <v>103</v>
      </c>
      <c r="G69" s="16" t="s">
        <v>103</v>
      </c>
      <c r="H69" s="16" t="s">
        <v>103</v>
      </c>
      <c r="I69" s="17" t="s">
        <v>104</v>
      </c>
      <c r="J69" s="16" t="s">
        <v>103</v>
      </c>
      <c r="K69" s="16" t="s">
        <v>209</v>
      </c>
      <c r="L69" s="17" t="s">
        <v>129</v>
      </c>
      <c r="M69" s="4" t="s">
        <v>116</v>
      </c>
      <c r="N69" s="16" t="s">
        <v>213</v>
      </c>
      <c r="O69" s="9" t="str">
        <f t="shared" ref="O69:O118" si="21">MID(E69,FIND(": ",E69)+2, 4)</f>
        <v>0000</v>
      </c>
      <c r="P69" s="9" t="str">
        <f t="shared" ref="P69:P118" si="22">MID(F69,FIND(": ",F69)+2, 4)</f>
        <v>0000</v>
      </c>
      <c r="Q69" s="9" t="str">
        <f t="shared" ref="Q69:Q118" si="23">MID(G69,FIND(": ",G69)+2, 4)</f>
        <v>0000</v>
      </c>
      <c r="R69" s="9" t="str">
        <f t="shared" ref="R69:R118" si="24">MID(H69,FIND(": ",H69)+2, 4)</f>
        <v>0000</v>
      </c>
      <c r="S69" s="9" t="str">
        <f t="shared" ref="S69:S118" si="25">MID(I69,FIND(": ",I69)+2, 2)</f>
        <v>00</v>
      </c>
      <c r="T69" s="9" t="str">
        <f t="shared" ref="T69:T118" si="26">MID(J69,FIND(": ",J69)+2, 4)</f>
        <v>0000</v>
      </c>
      <c r="U69" s="9" t="str">
        <f t="shared" ref="U69:U118" si="27">MID(K69,FIND(": ",K69)+2, 3)</f>
        <v>100</v>
      </c>
      <c r="V69" s="9" t="str">
        <f t="shared" ref="V69:V118" si="28">MID(L69,FIND(": ",L69)+2, 3)</f>
        <v>011</v>
      </c>
      <c r="W69" s="9" t="str">
        <f t="shared" ref="W69:W118" si="29">MID(M69,FIND(": ",M69)+2, 1)</f>
        <v>1</v>
      </c>
      <c r="X69" s="9" t="str">
        <f t="shared" ref="X69:X118" si="30">MID(N69,FIND(": ",N69)+2, 7)</f>
        <v>1010100</v>
      </c>
      <c r="Y69" s="4" t="str">
        <f t="shared" si="19"/>
        <v>000000000000000000000010001111010100</v>
      </c>
    </row>
    <row r="70" spans="1:25" s="9" customFormat="1" x14ac:dyDescent="0.3">
      <c r="A70" s="4" t="s">
        <v>241</v>
      </c>
      <c r="B70" s="4">
        <v>67</v>
      </c>
      <c r="C70" s="26" t="str">
        <f t="shared" si="20"/>
        <v>0x43</v>
      </c>
      <c r="D70" s="21" t="str">
        <f t="shared" si="18"/>
        <v>0x000000F00</v>
      </c>
      <c r="E70" s="16" t="s">
        <v>103</v>
      </c>
      <c r="F70" s="16" t="s">
        <v>103</v>
      </c>
      <c r="G70" s="16" t="s">
        <v>103</v>
      </c>
      <c r="H70" s="16" t="s">
        <v>103</v>
      </c>
      <c r="I70" s="17" t="s">
        <v>104</v>
      </c>
      <c r="J70" s="16" t="s">
        <v>103</v>
      </c>
      <c r="K70" s="16" t="s">
        <v>114</v>
      </c>
      <c r="L70" s="17" t="s">
        <v>149</v>
      </c>
      <c r="M70" s="4" t="s">
        <v>107</v>
      </c>
      <c r="N70" s="16" t="s">
        <v>176</v>
      </c>
      <c r="O70" s="9" t="str">
        <f t="shared" si="21"/>
        <v>0000</v>
      </c>
      <c r="P70" s="9" t="str">
        <f t="shared" si="22"/>
        <v>0000</v>
      </c>
      <c r="Q70" s="9" t="str">
        <f t="shared" si="23"/>
        <v>0000</v>
      </c>
      <c r="R70" s="9" t="str">
        <f t="shared" si="24"/>
        <v>0000</v>
      </c>
      <c r="S70" s="9" t="str">
        <f t="shared" si="25"/>
        <v>00</v>
      </c>
      <c r="T70" s="9" t="str">
        <f t="shared" si="26"/>
        <v>0000</v>
      </c>
      <c r="U70" s="9" t="str">
        <f t="shared" si="27"/>
        <v>001</v>
      </c>
      <c r="V70" s="9" t="str">
        <f t="shared" si="28"/>
        <v>111</v>
      </c>
      <c r="W70" s="9" t="str">
        <f t="shared" si="29"/>
        <v>0</v>
      </c>
      <c r="X70" s="9" t="str">
        <f t="shared" si="30"/>
        <v>0000000</v>
      </c>
      <c r="Y70" s="4" t="str">
        <f t="shared" si="19"/>
        <v>000000000000000000000000111100000000</v>
      </c>
    </row>
    <row r="71" spans="1:25" s="9" customFormat="1" x14ac:dyDescent="0.3">
      <c r="A71" s="4" t="s">
        <v>61</v>
      </c>
      <c r="B71" s="4">
        <v>68</v>
      </c>
      <c r="C71" s="26" t="str">
        <f t="shared" si="20"/>
        <v>0x44</v>
      </c>
      <c r="D71" s="21" t="str">
        <f t="shared" si="18"/>
        <v>0x000003B54</v>
      </c>
      <c r="E71" s="16" t="s">
        <v>103</v>
      </c>
      <c r="F71" s="16" t="s">
        <v>103</v>
      </c>
      <c r="G71" s="16" t="s">
        <v>103</v>
      </c>
      <c r="H71" s="16" t="s">
        <v>103</v>
      </c>
      <c r="I71" s="17" t="s">
        <v>104</v>
      </c>
      <c r="J71" s="16" t="s">
        <v>103</v>
      </c>
      <c r="K71" s="16" t="s">
        <v>212</v>
      </c>
      <c r="L71" s="17" t="s">
        <v>129</v>
      </c>
      <c r="M71" s="4" t="s">
        <v>107</v>
      </c>
      <c r="N71" s="16" t="s">
        <v>213</v>
      </c>
      <c r="O71" s="9" t="str">
        <f t="shared" si="21"/>
        <v>0000</v>
      </c>
      <c r="P71" s="9" t="str">
        <f t="shared" si="22"/>
        <v>0000</v>
      </c>
      <c r="Q71" s="9" t="str">
        <f t="shared" si="23"/>
        <v>0000</v>
      </c>
      <c r="R71" s="9" t="str">
        <f t="shared" si="24"/>
        <v>0000</v>
      </c>
      <c r="S71" s="9" t="str">
        <f t="shared" si="25"/>
        <v>00</v>
      </c>
      <c r="T71" s="9" t="str">
        <f t="shared" si="26"/>
        <v>0000</v>
      </c>
      <c r="U71" s="9" t="str">
        <f t="shared" si="27"/>
        <v>111</v>
      </c>
      <c r="V71" s="9" t="str">
        <f t="shared" si="28"/>
        <v>011</v>
      </c>
      <c r="W71" s="9" t="str">
        <f t="shared" si="29"/>
        <v>0</v>
      </c>
      <c r="X71" s="9" t="str">
        <f t="shared" si="30"/>
        <v>1010100</v>
      </c>
      <c r="Y71" s="4" t="str">
        <f t="shared" si="19"/>
        <v>000000000000000000000011101101010100</v>
      </c>
    </row>
    <row r="72" spans="1:25" s="9" customFormat="1" x14ac:dyDescent="0.3">
      <c r="A72" s="4" t="s">
        <v>242</v>
      </c>
      <c r="B72" s="4">
        <v>69</v>
      </c>
      <c r="C72" s="26" t="str">
        <f t="shared" si="20"/>
        <v>0x45</v>
      </c>
      <c r="D72" s="21" t="str">
        <f t="shared" si="18"/>
        <v>0x000000F00</v>
      </c>
      <c r="E72" s="16" t="s">
        <v>103</v>
      </c>
      <c r="F72" s="16" t="s">
        <v>103</v>
      </c>
      <c r="G72" s="16" t="s">
        <v>103</v>
      </c>
      <c r="H72" s="16" t="s">
        <v>103</v>
      </c>
      <c r="I72" s="17" t="s">
        <v>104</v>
      </c>
      <c r="J72" s="16" t="s">
        <v>103</v>
      </c>
      <c r="K72" s="16" t="s">
        <v>114</v>
      </c>
      <c r="L72" s="17" t="s">
        <v>149</v>
      </c>
      <c r="M72" s="4" t="s">
        <v>107</v>
      </c>
      <c r="N72" s="16" t="s">
        <v>176</v>
      </c>
      <c r="O72" s="9" t="str">
        <f t="shared" si="21"/>
        <v>0000</v>
      </c>
      <c r="P72" s="9" t="str">
        <f t="shared" si="22"/>
        <v>0000</v>
      </c>
      <c r="Q72" s="9" t="str">
        <f t="shared" si="23"/>
        <v>0000</v>
      </c>
      <c r="R72" s="9" t="str">
        <f t="shared" si="24"/>
        <v>0000</v>
      </c>
      <c r="S72" s="9" t="str">
        <f t="shared" si="25"/>
        <v>00</v>
      </c>
      <c r="T72" s="9" t="str">
        <f t="shared" si="26"/>
        <v>0000</v>
      </c>
      <c r="U72" s="9" t="str">
        <f t="shared" si="27"/>
        <v>001</v>
      </c>
      <c r="V72" s="9" t="str">
        <f t="shared" si="28"/>
        <v>111</v>
      </c>
      <c r="W72" s="9" t="str">
        <f t="shared" si="29"/>
        <v>0</v>
      </c>
      <c r="X72" s="9" t="str">
        <f t="shared" si="30"/>
        <v>0000000</v>
      </c>
      <c r="Y72" s="4" t="str">
        <f t="shared" si="19"/>
        <v>000000000000000000000000111100000000</v>
      </c>
    </row>
    <row r="73" spans="1:25" s="9" customFormat="1" x14ac:dyDescent="0.3">
      <c r="A73" s="4" t="s">
        <v>62</v>
      </c>
      <c r="B73" s="4">
        <v>70</v>
      </c>
      <c r="C73" s="26" t="str">
        <f t="shared" si="20"/>
        <v>0x46</v>
      </c>
      <c r="D73" s="21" t="str">
        <f t="shared" si="18"/>
        <v>0x000003BD4</v>
      </c>
      <c r="E73" s="16" t="s">
        <v>103</v>
      </c>
      <c r="F73" s="16" t="s">
        <v>103</v>
      </c>
      <c r="G73" s="16" t="s">
        <v>103</v>
      </c>
      <c r="H73" s="16" t="s">
        <v>103</v>
      </c>
      <c r="I73" s="17" t="s">
        <v>104</v>
      </c>
      <c r="J73" s="16" t="s">
        <v>103</v>
      </c>
      <c r="K73" s="16" t="s">
        <v>212</v>
      </c>
      <c r="L73" s="17" t="s">
        <v>129</v>
      </c>
      <c r="M73" s="4" t="s">
        <v>116</v>
      </c>
      <c r="N73" s="16" t="s">
        <v>213</v>
      </c>
      <c r="O73" s="9" t="str">
        <f t="shared" si="21"/>
        <v>0000</v>
      </c>
      <c r="P73" s="9" t="str">
        <f t="shared" si="22"/>
        <v>0000</v>
      </c>
      <c r="Q73" s="9" t="str">
        <f t="shared" si="23"/>
        <v>0000</v>
      </c>
      <c r="R73" s="9" t="str">
        <f t="shared" si="24"/>
        <v>0000</v>
      </c>
      <c r="S73" s="9" t="str">
        <f t="shared" si="25"/>
        <v>00</v>
      </c>
      <c r="T73" s="9" t="str">
        <f t="shared" si="26"/>
        <v>0000</v>
      </c>
      <c r="U73" s="9" t="str">
        <f t="shared" si="27"/>
        <v>111</v>
      </c>
      <c r="V73" s="9" t="str">
        <f t="shared" si="28"/>
        <v>011</v>
      </c>
      <c r="W73" s="9" t="str">
        <f t="shared" si="29"/>
        <v>1</v>
      </c>
      <c r="X73" s="9" t="str">
        <f t="shared" si="30"/>
        <v>1010100</v>
      </c>
      <c r="Y73" s="4" t="str">
        <f t="shared" si="19"/>
        <v>000000000000000000000011101111010100</v>
      </c>
    </row>
    <row r="74" spans="1:25" s="9" customFormat="1" x14ac:dyDescent="0.3">
      <c r="A74" s="4" t="s">
        <v>243</v>
      </c>
      <c r="B74" s="4">
        <v>71</v>
      </c>
      <c r="C74" s="26" t="str">
        <f t="shared" si="20"/>
        <v>0x47</v>
      </c>
      <c r="D74" s="21" t="str">
        <f t="shared" si="18"/>
        <v>0x000000F00</v>
      </c>
      <c r="E74" s="16" t="s">
        <v>103</v>
      </c>
      <c r="F74" s="16" t="s">
        <v>103</v>
      </c>
      <c r="G74" s="16" t="s">
        <v>103</v>
      </c>
      <c r="H74" s="16" t="s">
        <v>103</v>
      </c>
      <c r="I74" s="17" t="s">
        <v>104</v>
      </c>
      <c r="J74" s="16" t="s">
        <v>103</v>
      </c>
      <c r="K74" s="16" t="s">
        <v>114</v>
      </c>
      <c r="L74" s="17" t="s">
        <v>149</v>
      </c>
      <c r="M74" s="4" t="s">
        <v>107</v>
      </c>
      <c r="N74" s="16" t="s">
        <v>176</v>
      </c>
      <c r="O74" s="9" t="str">
        <f t="shared" si="21"/>
        <v>0000</v>
      </c>
      <c r="P74" s="9" t="str">
        <f t="shared" si="22"/>
        <v>0000</v>
      </c>
      <c r="Q74" s="9" t="str">
        <f t="shared" si="23"/>
        <v>0000</v>
      </c>
      <c r="R74" s="9" t="str">
        <f t="shared" si="24"/>
        <v>0000</v>
      </c>
      <c r="S74" s="9" t="str">
        <f t="shared" si="25"/>
        <v>00</v>
      </c>
      <c r="T74" s="9" t="str">
        <f t="shared" si="26"/>
        <v>0000</v>
      </c>
      <c r="U74" s="9" t="str">
        <f t="shared" si="27"/>
        <v>001</v>
      </c>
      <c r="V74" s="9" t="str">
        <f t="shared" si="28"/>
        <v>111</v>
      </c>
      <c r="W74" s="9" t="str">
        <f t="shared" si="29"/>
        <v>0</v>
      </c>
      <c r="X74" s="9" t="str">
        <f t="shared" si="30"/>
        <v>0000000</v>
      </c>
      <c r="Y74" s="4" t="str">
        <f t="shared" si="19"/>
        <v>000000000000000000000000111100000000</v>
      </c>
    </row>
    <row r="75" spans="1:25" s="9" customFormat="1" x14ac:dyDescent="0.3">
      <c r="A75" s="4" t="s">
        <v>63</v>
      </c>
      <c r="B75" s="4">
        <v>72</v>
      </c>
      <c r="C75" s="26" t="str">
        <f t="shared" si="20"/>
        <v>0x48</v>
      </c>
      <c r="D75" s="21" t="str">
        <f t="shared" si="18"/>
        <v>0x000000B54</v>
      </c>
      <c r="E75" s="16" t="s">
        <v>103</v>
      </c>
      <c r="F75" s="16" t="s">
        <v>103</v>
      </c>
      <c r="G75" s="16" t="s">
        <v>103</v>
      </c>
      <c r="H75" s="16" t="s">
        <v>103</v>
      </c>
      <c r="I75" s="17" t="s">
        <v>104</v>
      </c>
      <c r="J75" s="16" t="s">
        <v>103</v>
      </c>
      <c r="K75" s="16" t="s">
        <v>114</v>
      </c>
      <c r="L75" s="17" t="s">
        <v>129</v>
      </c>
      <c r="M75" s="4" t="s">
        <v>107</v>
      </c>
      <c r="N75" s="16" t="s">
        <v>213</v>
      </c>
      <c r="O75" s="9" t="str">
        <f t="shared" si="21"/>
        <v>0000</v>
      </c>
      <c r="P75" s="9" t="str">
        <f t="shared" si="22"/>
        <v>0000</v>
      </c>
      <c r="Q75" s="9" t="str">
        <f t="shared" si="23"/>
        <v>0000</v>
      </c>
      <c r="R75" s="9" t="str">
        <f t="shared" si="24"/>
        <v>0000</v>
      </c>
      <c r="S75" s="9" t="str">
        <f t="shared" si="25"/>
        <v>00</v>
      </c>
      <c r="T75" s="9" t="str">
        <f t="shared" si="26"/>
        <v>0000</v>
      </c>
      <c r="U75" s="9" t="str">
        <f t="shared" si="27"/>
        <v>001</v>
      </c>
      <c r="V75" s="9" t="str">
        <f t="shared" si="28"/>
        <v>011</v>
      </c>
      <c r="W75" s="9" t="str">
        <f t="shared" si="29"/>
        <v>0</v>
      </c>
      <c r="X75" s="9" t="str">
        <f t="shared" si="30"/>
        <v>1010100</v>
      </c>
      <c r="Y75" s="4" t="str">
        <f t="shared" si="19"/>
        <v>000000000000000000000000101101010100</v>
      </c>
    </row>
    <row r="76" spans="1:25" s="9" customFormat="1" x14ac:dyDescent="0.3">
      <c r="A76" s="4" t="s">
        <v>244</v>
      </c>
      <c r="B76" s="4">
        <v>73</v>
      </c>
      <c r="C76" s="26" t="str">
        <f t="shared" si="20"/>
        <v>0x49</v>
      </c>
      <c r="D76" s="21" t="str">
        <f t="shared" si="18"/>
        <v>0x000000000</v>
      </c>
      <c r="E76" s="16" t="s">
        <v>103</v>
      </c>
      <c r="F76" s="16" t="s">
        <v>103</v>
      </c>
      <c r="G76" s="16" t="s">
        <v>103</v>
      </c>
      <c r="H76" s="16" t="s">
        <v>103</v>
      </c>
      <c r="I76" s="17" t="s">
        <v>104</v>
      </c>
      <c r="J76" s="16" t="s">
        <v>103</v>
      </c>
      <c r="K76" s="16" t="s">
        <v>105</v>
      </c>
      <c r="L76" s="17" t="s">
        <v>106</v>
      </c>
      <c r="M76" s="4" t="s">
        <v>107</v>
      </c>
      <c r="N76" s="16" t="s">
        <v>175</v>
      </c>
      <c r="O76" s="9" t="str">
        <f t="shared" si="21"/>
        <v>0000</v>
      </c>
      <c r="P76" s="9" t="str">
        <f t="shared" si="22"/>
        <v>0000</v>
      </c>
      <c r="Q76" s="9" t="str">
        <f t="shared" si="23"/>
        <v>0000</v>
      </c>
      <c r="R76" s="9" t="str">
        <f t="shared" si="24"/>
        <v>0000</v>
      </c>
      <c r="S76" s="9" t="str">
        <f t="shared" si="25"/>
        <v>00</v>
      </c>
      <c r="T76" s="9" t="str">
        <f t="shared" si="26"/>
        <v>0000</v>
      </c>
      <c r="U76" s="9" t="str">
        <f t="shared" si="27"/>
        <v>000</v>
      </c>
      <c r="V76" s="9" t="str">
        <f t="shared" si="28"/>
        <v>000</v>
      </c>
      <c r="W76" s="9" t="str">
        <f t="shared" si="29"/>
        <v>0</v>
      </c>
      <c r="X76" s="9" t="str">
        <f t="shared" si="30"/>
        <v>0000000</v>
      </c>
      <c r="Y76" s="4" t="str">
        <f t="shared" si="19"/>
        <v>000000000000000000000000000000000000</v>
      </c>
    </row>
    <row r="77" spans="1:25" s="9" customFormat="1" x14ac:dyDescent="0.3">
      <c r="A77" s="4" t="s">
        <v>64</v>
      </c>
      <c r="B77" s="4">
        <v>74</v>
      </c>
      <c r="C77" s="26" t="str">
        <f t="shared" si="20"/>
        <v>0x4A</v>
      </c>
      <c r="D77" s="21" t="str">
        <f t="shared" si="18"/>
        <v>0x000000B4B</v>
      </c>
      <c r="E77" s="16" t="s">
        <v>103</v>
      </c>
      <c r="F77" s="16" t="s">
        <v>103</v>
      </c>
      <c r="G77" s="16" t="s">
        <v>103</v>
      </c>
      <c r="H77" s="16" t="s">
        <v>103</v>
      </c>
      <c r="I77" s="17" t="s">
        <v>104</v>
      </c>
      <c r="J77" s="16" t="s">
        <v>103</v>
      </c>
      <c r="K77" s="16" t="s">
        <v>114</v>
      </c>
      <c r="L77" s="17" t="s">
        <v>129</v>
      </c>
      <c r="M77" s="4" t="s">
        <v>107</v>
      </c>
      <c r="N77" s="16" t="s">
        <v>214</v>
      </c>
      <c r="O77" s="9" t="str">
        <f t="shared" si="21"/>
        <v>0000</v>
      </c>
      <c r="P77" s="9" t="str">
        <f t="shared" si="22"/>
        <v>0000</v>
      </c>
      <c r="Q77" s="9" t="str">
        <f t="shared" si="23"/>
        <v>0000</v>
      </c>
      <c r="R77" s="9" t="str">
        <f t="shared" si="24"/>
        <v>0000</v>
      </c>
      <c r="S77" s="9" t="str">
        <f t="shared" si="25"/>
        <v>00</v>
      </c>
      <c r="T77" s="9" t="str">
        <f t="shared" si="26"/>
        <v>0000</v>
      </c>
      <c r="U77" s="9" t="str">
        <f t="shared" si="27"/>
        <v>001</v>
      </c>
      <c r="V77" s="9" t="str">
        <f t="shared" si="28"/>
        <v>011</v>
      </c>
      <c r="W77" s="9" t="str">
        <f t="shared" si="29"/>
        <v>0</v>
      </c>
      <c r="X77" s="9" t="str">
        <f t="shared" si="30"/>
        <v>1001011</v>
      </c>
      <c r="Y77" s="4" t="str">
        <f t="shared" si="19"/>
        <v>000000000000000000000000101101001011</v>
      </c>
    </row>
    <row r="78" spans="1:25" s="9" customFormat="1" x14ac:dyDescent="0.3">
      <c r="A78" s="4" t="s">
        <v>65</v>
      </c>
      <c r="B78" s="4">
        <v>75</v>
      </c>
      <c r="C78" s="26" t="str">
        <f t="shared" si="20"/>
        <v>0x4B</v>
      </c>
      <c r="D78" s="21" t="str">
        <f t="shared" si="18"/>
        <v>0x60188C850</v>
      </c>
      <c r="E78" s="16" t="s">
        <v>141</v>
      </c>
      <c r="F78" s="16" t="s">
        <v>103</v>
      </c>
      <c r="G78" s="16" t="s">
        <v>110</v>
      </c>
      <c r="H78" s="16" t="s">
        <v>152</v>
      </c>
      <c r="I78" s="17" t="s">
        <v>121</v>
      </c>
      <c r="J78" s="16" t="s">
        <v>128</v>
      </c>
      <c r="K78" s="16" t="s">
        <v>114</v>
      </c>
      <c r="L78" s="17" t="s">
        <v>106</v>
      </c>
      <c r="M78" s="4" t="s">
        <v>107</v>
      </c>
      <c r="N78" s="16" t="s">
        <v>215</v>
      </c>
      <c r="O78" s="9" t="str">
        <f t="shared" si="21"/>
        <v>0110</v>
      </c>
      <c r="P78" s="9" t="str">
        <f t="shared" si="22"/>
        <v>0000</v>
      </c>
      <c r="Q78" s="9" t="str">
        <f t="shared" si="23"/>
        <v>0001</v>
      </c>
      <c r="R78" s="9" t="str">
        <f t="shared" si="24"/>
        <v>1000</v>
      </c>
      <c r="S78" s="9" t="str">
        <f t="shared" si="25"/>
        <v>10</v>
      </c>
      <c r="T78" s="9" t="str">
        <f t="shared" si="26"/>
        <v>0011</v>
      </c>
      <c r="U78" s="9" t="str">
        <f t="shared" si="27"/>
        <v>001</v>
      </c>
      <c r="V78" s="9" t="str">
        <f t="shared" si="28"/>
        <v>000</v>
      </c>
      <c r="W78" s="9" t="str">
        <f t="shared" si="29"/>
        <v>0</v>
      </c>
      <c r="X78" s="9" t="str">
        <f t="shared" si="30"/>
        <v>1010000</v>
      </c>
      <c r="Y78" s="4" t="str">
        <f t="shared" si="19"/>
        <v>011000000001100010001100100001010000</v>
      </c>
    </row>
    <row r="79" spans="1:25" s="9" customFormat="1" x14ac:dyDescent="0.3">
      <c r="A79" s="4" t="s">
        <v>66</v>
      </c>
      <c r="B79" s="4">
        <v>76</v>
      </c>
      <c r="C79" s="26" t="str">
        <f t="shared" si="20"/>
        <v>0x4C</v>
      </c>
      <c r="D79" s="21" t="str">
        <f t="shared" si="18"/>
        <v>0x000000802</v>
      </c>
      <c r="E79" s="16" t="s">
        <v>103</v>
      </c>
      <c r="F79" s="16" t="s">
        <v>103</v>
      </c>
      <c r="G79" s="16" t="s">
        <v>103</v>
      </c>
      <c r="H79" s="16" t="s">
        <v>103</v>
      </c>
      <c r="I79" s="17" t="s">
        <v>104</v>
      </c>
      <c r="J79" s="16" t="s">
        <v>103</v>
      </c>
      <c r="K79" s="16" t="s">
        <v>114</v>
      </c>
      <c r="L79" s="17" t="s">
        <v>106</v>
      </c>
      <c r="M79" s="4" t="s">
        <v>107</v>
      </c>
      <c r="N79" s="16" t="s">
        <v>193</v>
      </c>
      <c r="O79" s="9" t="str">
        <f t="shared" si="21"/>
        <v>0000</v>
      </c>
      <c r="P79" s="9" t="str">
        <f t="shared" si="22"/>
        <v>0000</v>
      </c>
      <c r="Q79" s="9" t="str">
        <f t="shared" si="23"/>
        <v>0000</v>
      </c>
      <c r="R79" s="9" t="str">
        <f t="shared" si="24"/>
        <v>0000</v>
      </c>
      <c r="S79" s="9" t="str">
        <f t="shared" si="25"/>
        <v>00</v>
      </c>
      <c r="T79" s="9" t="str">
        <f t="shared" si="26"/>
        <v>0000</v>
      </c>
      <c r="U79" s="9" t="str">
        <f t="shared" si="27"/>
        <v>001</v>
      </c>
      <c r="V79" s="9" t="str">
        <f t="shared" si="28"/>
        <v>000</v>
      </c>
      <c r="W79" s="9" t="str">
        <f t="shared" si="29"/>
        <v>0</v>
      </c>
      <c r="X79" s="9" t="str">
        <f t="shared" si="30"/>
        <v>0000010</v>
      </c>
      <c r="Y79" s="4" t="str">
        <f t="shared" si="19"/>
        <v>000000000000000000000000100000000010</v>
      </c>
    </row>
    <row r="80" spans="1:25" s="9" customFormat="1" x14ac:dyDescent="0.3">
      <c r="A80" s="4" t="s">
        <v>67</v>
      </c>
      <c r="B80" s="4">
        <v>77</v>
      </c>
      <c r="C80" s="26" t="str">
        <f t="shared" si="20"/>
        <v>0x4D</v>
      </c>
      <c r="D80" s="21" t="str">
        <f t="shared" si="18"/>
        <v>0x022500851</v>
      </c>
      <c r="E80" s="16" t="s">
        <v>103</v>
      </c>
      <c r="F80" s="16" t="s">
        <v>118</v>
      </c>
      <c r="G80" s="16" t="s">
        <v>119</v>
      </c>
      <c r="H80" s="16" t="s">
        <v>138</v>
      </c>
      <c r="I80" s="17" t="s">
        <v>104</v>
      </c>
      <c r="J80" s="16" t="s">
        <v>103</v>
      </c>
      <c r="K80" s="16" t="s">
        <v>114</v>
      </c>
      <c r="L80" s="17" t="s">
        <v>106</v>
      </c>
      <c r="M80" s="4" t="s">
        <v>107</v>
      </c>
      <c r="N80" s="16" t="s">
        <v>216</v>
      </c>
      <c r="O80" s="9" t="str">
        <f t="shared" si="21"/>
        <v>0000</v>
      </c>
      <c r="P80" s="9" t="str">
        <f t="shared" si="22"/>
        <v>0010</v>
      </c>
      <c r="Q80" s="9" t="str">
        <f t="shared" si="23"/>
        <v>0010</v>
      </c>
      <c r="R80" s="9" t="str">
        <f t="shared" si="24"/>
        <v>0101</v>
      </c>
      <c r="S80" s="9" t="str">
        <f t="shared" si="25"/>
        <v>00</v>
      </c>
      <c r="T80" s="9" t="str">
        <f t="shared" si="26"/>
        <v>0000</v>
      </c>
      <c r="U80" s="9" t="str">
        <f t="shared" si="27"/>
        <v>001</v>
      </c>
      <c r="V80" s="9" t="str">
        <f t="shared" si="28"/>
        <v>000</v>
      </c>
      <c r="W80" s="9" t="str">
        <f t="shared" si="29"/>
        <v>0</v>
      </c>
      <c r="X80" s="9" t="str">
        <f t="shared" si="30"/>
        <v>1010001</v>
      </c>
      <c r="Y80" s="4" t="str">
        <f t="shared" si="19"/>
        <v>000000100010010100000000100001010001</v>
      </c>
    </row>
    <row r="81" spans="1:25" s="9" customFormat="1" x14ac:dyDescent="0.3">
      <c r="A81" s="4" t="s">
        <v>68</v>
      </c>
      <c r="B81" s="4">
        <v>78</v>
      </c>
      <c r="C81" s="26" t="str">
        <f t="shared" si="20"/>
        <v>0x4E</v>
      </c>
      <c r="D81" s="21" t="str">
        <f t="shared" si="18"/>
        <v>0x60188C000</v>
      </c>
      <c r="E81" s="16" t="s">
        <v>141</v>
      </c>
      <c r="F81" s="16" t="s">
        <v>103</v>
      </c>
      <c r="G81" s="16" t="s">
        <v>110</v>
      </c>
      <c r="H81" s="16" t="s">
        <v>152</v>
      </c>
      <c r="I81" s="17" t="s">
        <v>121</v>
      </c>
      <c r="J81" s="16" t="s">
        <v>128</v>
      </c>
      <c r="K81" s="16" t="s">
        <v>105</v>
      </c>
      <c r="L81" s="17" t="s">
        <v>106</v>
      </c>
      <c r="M81" s="4" t="s">
        <v>107</v>
      </c>
      <c r="N81" s="16" t="s">
        <v>175</v>
      </c>
      <c r="O81" s="9" t="str">
        <f t="shared" si="21"/>
        <v>0110</v>
      </c>
      <c r="P81" s="9" t="str">
        <f t="shared" si="22"/>
        <v>0000</v>
      </c>
      <c r="Q81" s="9" t="str">
        <f t="shared" si="23"/>
        <v>0001</v>
      </c>
      <c r="R81" s="9" t="str">
        <f t="shared" si="24"/>
        <v>1000</v>
      </c>
      <c r="S81" s="9" t="str">
        <f t="shared" si="25"/>
        <v>10</v>
      </c>
      <c r="T81" s="9" t="str">
        <f t="shared" si="26"/>
        <v>0011</v>
      </c>
      <c r="U81" s="9" t="str">
        <f t="shared" si="27"/>
        <v>000</v>
      </c>
      <c r="V81" s="9" t="str">
        <f t="shared" si="28"/>
        <v>000</v>
      </c>
      <c r="W81" s="9" t="str">
        <f t="shared" si="29"/>
        <v>0</v>
      </c>
      <c r="X81" s="9" t="str">
        <f t="shared" si="30"/>
        <v>0000000</v>
      </c>
      <c r="Y81" s="4" t="str">
        <f t="shared" si="19"/>
        <v>011000000001100010001100000000000000</v>
      </c>
    </row>
    <row r="82" spans="1:25" s="9" customFormat="1" x14ac:dyDescent="0.3">
      <c r="A82" s="4" t="s">
        <v>245</v>
      </c>
      <c r="B82" s="4">
        <v>79</v>
      </c>
      <c r="C82" s="26" t="str">
        <f t="shared" si="20"/>
        <v>0x4F</v>
      </c>
      <c r="D82" s="21" t="str">
        <f t="shared" si="18"/>
        <v>0x923500851</v>
      </c>
      <c r="E82" s="16" t="s">
        <v>153</v>
      </c>
      <c r="F82" s="16" t="s">
        <v>118</v>
      </c>
      <c r="G82" s="16" t="s">
        <v>200</v>
      </c>
      <c r="H82" s="16" t="s">
        <v>138</v>
      </c>
      <c r="I82" s="17" t="s">
        <v>104</v>
      </c>
      <c r="J82" s="16" t="s">
        <v>103</v>
      </c>
      <c r="K82" s="16" t="s">
        <v>114</v>
      </c>
      <c r="L82" s="17" t="s">
        <v>106</v>
      </c>
      <c r="M82" s="4" t="s">
        <v>107</v>
      </c>
      <c r="N82" s="16" t="s">
        <v>216</v>
      </c>
      <c r="O82" s="9" t="str">
        <f t="shared" si="21"/>
        <v>1001</v>
      </c>
      <c r="P82" s="9" t="str">
        <f t="shared" si="22"/>
        <v>0010</v>
      </c>
      <c r="Q82" s="9" t="str">
        <f t="shared" si="23"/>
        <v>0011</v>
      </c>
      <c r="R82" s="9" t="str">
        <f t="shared" si="24"/>
        <v>0101</v>
      </c>
      <c r="S82" s="9" t="str">
        <f t="shared" si="25"/>
        <v>00</v>
      </c>
      <c r="T82" s="9" t="str">
        <f t="shared" si="26"/>
        <v>0000</v>
      </c>
      <c r="U82" s="9" t="str">
        <f t="shared" si="27"/>
        <v>001</v>
      </c>
      <c r="V82" s="9" t="str">
        <f t="shared" si="28"/>
        <v>000</v>
      </c>
      <c r="W82" s="9" t="str">
        <f t="shared" si="29"/>
        <v>0</v>
      </c>
      <c r="X82" s="9" t="str">
        <f t="shared" si="30"/>
        <v>1010001</v>
      </c>
      <c r="Y82" s="4" t="str">
        <f t="shared" si="19"/>
        <v>100100100011010100000000100001010001</v>
      </c>
    </row>
    <row r="83" spans="1:25" s="9" customFormat="1" x14ac:dyDescent="0.3">
      <c r="A83" s="4" t="s">
        <v>69</v>
      </c>
      <c r="B83" s="4">
        <v>80</v>
      </c>
      <c r="C83" s="26" t="str">
        <f t="shared" si="20"/>
        <v>0x50</v>
      </c>
      <c r="D83" s="21" t="str">
        <f t="shared" si="18"/>
        <v>0x953500000</v>
      </c>
      <c r="E83" s="16" t="s">
        <v>153</v>
      </c>
      <c r="F83" s="16" t="s">
        <v>201</v>
      </c>
      <c r="G83" s="16" t="s">
        <v>200</v>
      </c>
      <c r="H83" s="16" t="s">
        <v>138</v>
      </c>
      <c r="I83" s="17" t="s">
        <v>104</v>
      </c>
      <c r="J83" s="16" t="s">
        <v>103</v>
      </c>
      <c r="K83" s="16" t="s">
        <v>105</v>
      </c>
      <c r="L83" s="17" t="s">
        <v>106</v>
      </c>
      <c r="M83" s="4" t="s">
        <v>107</v>
      </c>
      <c r="N83" s="16" t="s">
        <v>175</v>
      </c>
      <c r="O83" s="9" t="str">
        <f t="shared" si="21"/>
        <v>1001</v>
      </c>
      <c r="P83" s="9" t="str">
        <f t="shared" si="22"/>
        <v>0101</v>
      </c>
      <c r="Q83" s="9" t="str">
        <f t="shared" si="23"/>
        <v>0011</v>
      </c>
      <c r="R83" s="9" t="str">
        <f t="shared" si="24"/>
        <v>0101</v>
      </c>
      <c r="S83" s="9" t="str">
        <f t="shared" si="25"/>
        <v>00</v>
      </c>
      <c r="T83" s="9" t="str">
        <f t="shared" si="26"/>
        <v>0000</v>
      </c>
      <c r="U83" s="9" t="str">
        <f t="shared" si="27"/>
        <v>000</v>
      </c>
      <c r="V83" s="9" t="str">
        <f t="shared" si="28"/>
        <v>000</v>
      </c>
      <c r="W83" s="9" t="str">
        <f t="shared" si="29"/>
        <v>0</v>
      </c>
      <c r="X83" s="9" t="str">
        <f t="shared" si="30"/>
        <v>0000000</v>
      </c>
      <c r="Y83" s="4" t="str">
        <f t="shared" si="19"/>
        <v>100101010011010100000000000000000000</v>
      </c>
    </row>
    <row r="84" spans="1:25" s="9" customFormat="1" x14ac:dyDescent="0.3">
      <c r="A84" s="4" t="s">
        <v>70</v>
      </c>
      <c r="B84" s="4">
        <v>81</v>
      </c>
      <c r="C84" s="26" t="str">
        <f t="shared" si="20"/>
        <v>0x51</v>
      </c>
      <c r="D84" s="21" t="str">
        <f t="shared" si="18"/>
        <v>0x301808000</v>
      </c>
      <c r="E84" s="16" t="s">
        <v>124</v>
      </c>
      <c r="F84" s="16" t="s">
        <v>103</v>
      </c>
      <c r="G84" s="16" t="s">
        <v>110</v>
      </c>
      <c r="H84" s="16" t="s">
        <v>152</v>
      </c>
      <c r="I84" s="17" t="s">
        <v>104</v>
      </c>
      <c r="J84" s="16" t="s">
        <v>122</v>
      </c>
      <c r="K84" s="16" t="s">
        <v>105</v>
      </c>
      <c r="L84" s="17" t="s">
        <v>106</v>
      </c>
      <c r="M84" s="4" t="s">
        <v>107</v>
      </c>
      <c r="N84" s="16" t="s">
        <v>175</v>
      </c>
      <c r="O84" s="9" t="str">
        <f t="shared" si="21"/>
        <v>0011</v>
      </c>
      <c r="P84" s="9" t="str">
        <f t="shared" si="22"/>
        <v>0000</v>
      </c>
      <c r="Q84" s="9" t="str">
        <f t="shared" si="23"/>
        <v>0001</v>
      </c>
      <c r="R84" s="9" t="str">
        <f t="shared" si="24"/>
        <v>1000</v>
      </c>
      <c r="S84" s="9" t="str">
        <f t="shared" si="25"/>
        <v>00</v>
      </c>
      <c r="T84" s="9" t="str">
        <f t="shared" si="26"/>
        <v>0010</v>
      </c>
      <c r="U84" s="9" t="str">
        <f t="shared" si="27"/>
        <v>000</v>
      </c>
      <c r="V84" s="9" t="str">
        <f t="shared" si="28"/>
        <v>000</v>
      </c>
      <c r="W84" s="9" t="str">
        <f t="shared" si="29"/>
        <v>0</v>
      </c>
      <c r="X84" s="9" t="str">
        <f t="shared" si="30"/>
        <v>0000000</v>
      </c>
      <c r="Y84" s="4" t="str">
        <f t="shared" si="19"/>
        <v>001100000001100000001000000000000000</v>
      </c>
    </row>
    <row r="85" spans="1:25" s="9" customFormat="1" x14ac:dyDescent="0.3">
      <c r="A85" s="4" t="s">
        <v>246</v>
      </c>
      <c r="B85" s="4">
        <v>82</v>
      </c>
      <c r="C85" s="26" t="str">
        <f t="shared" si="20"/>
        <v>0x52</v>
      </c>
      <c r="D85" s="21" t="str">
        <f t="shared" si="18"/>
        <v>0x6019C0000</v>
      </c>
      <c r="E85" s="16" t="s">
        <v>141</v>
      </c>
      <c r="F85" s="16" t="s">
        <v>103</v>
      </c>
      <c r="G85" s="16" t="s">
        <v>110</v>
      </c>
      <c r="H85" s="16" t="s">
        <v>154</v>
      </c>
      <c r="I85" s="17" t="s">
        <v>127</v>
      </c>
      <c r="J85" s="16" t="s">
        <v>103</v>
      </c>
      <c r="K85" s="16" t="s">
        <v>105</v>
      </c>
      <c r="L85" s="17" t="s">
        <v>106</v>
      </c>
      <c r="M85" s="4" t="s">
        <v>107</v>
      </c>
      <c r="N85" s="16" t="s">
        <v>175</v>
      </c>
      <c r="O85" s="9" t="str">
        <f t="shared" si="21"/>
        <v>0110</v>
      </c>
      <c r="P85" s="9" t="str">
        <f t="shared" si="22"/>
        <v>0000</v>
      </c>
      <c r="Q85" s="9" t="str">
        <f t="shared" si="23"/>
        <v>0001</v>
      </c>
      <c r="R85" s="9" t="str">
        <f t="shared" si="24"/>
        <v>1001</v>
      </c>
      <c r="S85" s="9" t="str">
        <f t="shared" si="25"/>
        <v>11</v>
      </c>
      <c r="T85" s="9" t="str">
        <f t="shared" si="26"/>
        <v>0000</v>
      </c>
      <c r="U85" s="9" t="str">
        <f t="shared" si="27"/>
        <v>000</v>
      </c>
      <c r="V85" s="9" t="str">
        <f t="shared" si="28"/>
        <v>000</v>
      </c>
      <c r="W85" s="9" t="str">
        <f t="shared" si="29"/>
        <v>0</v>
      </c>
      <c r="X85" s="9" t="str">
        <f t="shared" si="30"/>
        <v>0000000</v>
      </c>
      <c r="Y85" s="4" t="str">
        <f t="shared" si="19"/>
        <v>011000000001100111000000000000000000</v>
      </c>
    </row>
    <row r="86" spans="1:25" s="9" customFormat="1" x14ac:dyDescent="0.3">
      <c r="A86" s="4" t="s">
        <v>246</v>
      </c>
      <c r="B86" s="4">
        <v>83</v>
      </c>
      <c r="C86" s="26" t="str">
        <f t="shared" si="20"/>
        <v>0x53</v>
      </c>
      <c r="D86" s="21" t="str">
        <f t="shared" si="18"/>
        <v>0x401600F00</v>
      </c>
      <c r="E86" s="16" t="s">
        <v>130</v>
      </c>
      <c r="F86" s="16" t="s">
        <v>103</v>
      </c>
      <c r="G86" s="16" t="s">
        <v>110</v>
      </c>
      <c r="H86" s="16" t="s">
        <v>144</v>
      </c>
      <c r="I86" s="17" t="s">
        <v>104</v>
      </c>
      <c r="J86" s="16" t="s">
        <v>103</v>
      </c>
      <c r="K86" s="16" t="s">
        <v>114</v>
      </c>
      <c r="L86" s="17" t="s">
        <v>149</v>
      </c>
      <c r="M86" s="4" t="s">
        <v>107</v>
      </c>
      <c r="N86" s="16" t="s">
        <v>176</v>
      </c>
      <c r="O86" s="9" t="str">
        <f t="shared" si="21"/>
        <v>0100</v>
      </c>
      <c r="P86" s="9" t="str">
        <f t="shared" si="22"/>
        <v>0000</v>
      </c>
      <c r="Q86" s="9" t="str">
        <f t="shared" si="23"/>
        <v>0001</v>
      </c>
      <c r="R86" s="9" t="str">
        <f t="shared" si="24"/>
        <v>0110</v>
      </c>
      <c r="S86" s="9" t="str">
        <f t="shared" si="25"/>
        <v>00</v>
      </c>
      <c r="T86" s="9" t="str">
        <f t="shared" si="26"/>
        <v>0000</v>
      </c>
      <c r="U86" s="9" t="str">
        <f t="shared" si="27"/>
        <v>001</v>
      </c>
      <c r="V86" s="9" t="str">
        <f t="shared" si="28"/>
        <v>111</v>
      </c>
      <c r="W86" s="9" t="str">
        <f t="shared" si="29"/>
        <v>0</v>
      </c>
      <c r="X86" s="9" t="str">
        <f t="shared" si="30"/>
        <v>0000000</v>
      </c>
      <c r="Y86" s="4" t="str">
        <f t="shared" si="19"/>
        <v>010000000001011000000000111100000000</v>
      </c>
    </row>
    <row r="87" spans="1:25" s="9" customFormat="1" x14ac:dyDescent="0.3">
      <c r="A87" s="4" t="s">
        <v>71</v>
      </c>
      <c r="B87" s="4">
        <v>84</v>
      </c>
      <c r="C87" s="26" t="str">
        <f t="shared" si="20"/>
        <v>0x54</v>
      </c>
      <c r="D87" s="21" t="str">
        <f t="shared" si="18"/>
        <v>0x60188C859</v>
      </c>
      <c r="E87" s="16" t="s">
        <v>141</v>
      </c>
      <c r="F87" s="16" t="s">
        <v>103</v>
      </c>
      <c r="G87" s="16" t="s">
        <v>110</v>
      </c>
      <c r="H87" s="16" t="s">
        <v>152</v>
      </c>
      <c r="I87" s="17" t="s">
        <v>121</v>
      </c>
      <c r="J87" s="16" t="s">
        <v>128</v>
      </c>
      <c r="K87" s="16" t="s">
        <v>114</v>
      </c>
      <c r="L87" s="17" t="s">
        <v>106</v>
      </c>
      <c r="M87" s="4" t="s">
        <v>107</v>
      </c>
      <c r="N87" s="16" t="s">
        <v>217</v>
      </c>
      <c r="O87" s="9" t="str">
        <f t="shared" si="21"/>
        <v>0110</v>
      </c>
      <c r="P87" s="9" t="str">
        <f t="shared" si="22"/>
        <v>0000</v>
      </c>
      <c r="Q87" s="9" t="str">
        <f t="shared" si="23"/>
        <v>0001</v>
      </c>
      <c r="R87" s="9" t="str">
        <f t="shared" si="24"/>
        <v>1000</v>
      </c>
      <c r="S87" s="9" t="str">
        <f t="shared" si="25"/>
        <v>10</v>
      </c>
      <c r="T87" s="9" t="str">
        <f t="shared" si="26"/>
        <v>0011</v>
      </c>
      <c r="U87" s="9" t="str">
        <f t="shared" si="27"/>
        <v>001</v>
      </c>
      <c r="V87" s="9" t="str">
        <f t="shared" si="28"/>
        <v>000</v>
      </c>
      <c r="W87" s="9" t="str">
        <f t="shared" si="29"/>
        <v>0</v>
      </c>
      <c r="X87" s="9" t="str">
        <f t="shared" si="30"/>
        <v>1011001</v>
      </c>
      <c r="Y87" s="4" t="str">
        <f t="shared" si="19"/>
        <v>011000000001100010001100100001011001</v>
      </c>
    </row>
    <row r="88" spans="1:25" s="9" customFormat="1" x14ac:dyDescent="0.3">
      <c r="A88" s="4" t="s">
        <v>72</v>
      </c>
      <c r="B88" s="4">
        <v>85</v>
      </c>
      <c r="C88" s="26" t="str">
        <f t="shared" si="20"/>
        <v>0x55</v>
      </c>
      <c r="D88" s="21" t="str">
        <f t="shared" si="18"/>
        <v>0x000000802</v>
      </c>
      <c r="E88" s="16" t="s">
        <v>103</v>
      </c>
      <c r="F88" s="16" t="s">
        <v>103</v>
      </c>
      <c r="G88" s="16" t="s">
        <v>103</v>
      </c>
      <c r="H88" s="16" t="s">
        <v>103</v>
      </c>
      <c r="I88" s="17" t="s">
        <v>104</v>
      </c>
      <c r="J88" s="16" t="s">
        <v>103</v>
      </c>
      <c r="K88" s="16" t="s">
        <v>114</v>
      </c>
      <c r="L88" s="17" t="s">
        <v>106</v>
      </c>
      <c r="M88" s="4" t="s">
        <v>107</v>
      </c>
      <c r="N88" s="16" t="s">
        <v>193</v>
      </c>
      <c r="O88" s="9" t="str">
        <f t="shared" si="21"/>
        <v>0000</v>
      </c>
      <c r="P88" s="9" t="str">
        <f t="shared" si="22"/>
        <v>0000</v>
      </c>
      <c r="Q88" s="9" t="str">
        <f t="shared" si="23"/>
        <v>0000</v>
      </c>
      <c r="R88" s="9" t="str">
        <f t="shared" si="24"/>
        <v>0000</v>
      </c>
      <c r="S88" s="9" t="str">
        <f t="shared" si="25"/>
        <v>00</v>
      </c>
      <c r="T88" s="9" t="str">
        <f t="shared" si="26"/>
        <v>0000</v>
      </c>
      <c r="U88" s="9" t="str">
        <f t="shared" si="27"/>
        <v>001</v>
      </c>
      <c r="V88" s="9" t="str">
        <f t="shared" si="28"/>
        <v>000</v>
      </c>
      <c r="W88" s="9" t="str">
        <f t="shared" si="29"/>
        <v>0</v>
      </c>
      <c r="X88" s="9" t="str">
        <f t="shared" si="30"/>
        <v>0000010</v>
      </c>
      <c r="Y88" s="4" t="str">
        <f t="shared" si="19"/>
        <v>000000000000000000000000100000000010</v>
      </c>
    </row>
    <row r="89" spans="1:25" s="9" customFormat="1" x14ac:dyDescent="0.3">
      <c r="A89" s="4" t="s">
        <v>73</v>
      </c>
      <c r="B89" s="4">
        <v>86</v>
      </c>
      <c r="C89" s="26" t="str">
        <f t="shared" si="20"/>
        <v>0x56</v>
      </c>
      <c r="D89" s="21" t="str">
        <f t="shared" si="18"/>
        <v>0x022600F00</v>
      </c>
      <c r="E89" s="16" t="s">
        <v>103</v>
      </c>
      <c r="F89" s="16" t="s">
        <v>118</v>
      </c>
      <c r="G89" s="16" t="s">
        <v>119</v>
      </c>
      <c r="H89" s="16" t="s">
        <v>144</v>
      </c>
      <c r="I89" s="17" t="s">
        <v>104</v>
      </c>
      <c r="J89" s="16" t="s">
        <v>103</v>
      </c>
      <c r="K89" s="16" t="s">
        <v>114</v>
      </c>
      <c r="L89" s="17" t="s">
        <v>149</v>
      </c>
      <c r="M89" s="4" t="s">
        <v>107</v>
      </c>
      <c r="N89" s="16" t="s">
        <v>176</v>
      </c>
      <c r="O89" s="9" t="str">
        <f t="shared" si="21"/>
        <v>0000</v>
      </c>
      <c r="P89" s="9" t="str">
        <f t="shared" si="22"/>
        <v>0010</v>
      </c>
      <c r="Q89" s="9" t="str">
        <f t="shared" si="23"/>
        <v>0010</v>
      </c>
      <c r="R89" s="9" t="str">
        <f t="shared" si="24"/>
        <v>0110</v>
      </c>
      <c r="S89" s="9" t="str">
        <f t="shared" si="25"/>
        <v>00</v>
      </c>
      <c r="T89" s="9" t="str">
        <f t="shared" si="26"/>
        <v>0000</v>
      </c>
      <c r="U89" s="9" t="str">
        <f t="shared" si="27"/>
        <v>001</v>
      </c>
      <c r="V89" s="9" t="str">
        <f t="shared" si="28"/>
        <v>111</v>
      </c>
      <c r="W89" s="9" t="str">
        <f t="shared" si="29"/>
        <v>0</v>
      </c>
      <c r="X89" s="9" t="str">
        <f t="shared" si="30"/>
        <v>0000000</v>
      </c>
      <c r="Y89" s="4" t="str">
        <f t="shared" si="19"/>
        <v>000000100010011000000000111100000000</v>
      </c>
    </row>
    <row r="90" spans="1:25" s="9" customFormat="1" x14ac:dyDescent="0.3">
      <c r="A90" s="4" t="s">
        <v>74</v>
      </c>
      <c r="B90" s="4">
        <v>87</v>
      </c>
      <c r="C90" s="26" t="str">
        <f t="shared" si="20"/>
        <v>0x57</v>
      </c>
      <c r="D90" s="21" t="str">
        <f t="shared" si="18"/>
        <v>0x60188C000</v>
      </c>
      <c r="E90" s="16" t="s">
        <v>141</v>
      </c>
      <c r="F90" s="16" t="s">
        <v>103</v>
      </c>
      <c r="G90" s="16" t="s">
        <v>110</v>
      </c>
      <c r="H90" s="16" t="s">
        <v>152</v>
      </c>
      <c r="I90" s="17" t="s">
        <v>121</v>
      </c>
      <c r="J90" s="16" t="s">
        <v>128</v>
      </c>
      <c r="K90" s="16" t="s">
        <v>105</v>
      </c>
      <c r="L90" s="17" t="s">
        <v>106</v>
      </c>
      <c r="M90" s="4" t="s">
        <v>107</v>
      </c>
      <c r="N90" s="16" t="s">
        <v>175</v>
      </c>
      <c r="O90" s="9" t="str">
        <f t="shared" si="21"/>
        <v>0110</v>
      </c>
      <c r="P90" s="9" t="str">
        <f t="shared" si="22"/>
        <v>0000</v>
      </c>
      <c r="Q90" s="9" t="str">
        <f t="shared" si="23"/>
        <v>0001</v>
      </c>
      <c r="R90" s="9" t="str">
        <f t="shared" si="24"/>
        <v>1000</v>
      </c>
      <c r="S90" s="9" t="str">
        <f t="shared" si="25"/>
        <v>10</v>
      </c>
      <c r="T90" s="9" t="str">
        <f t="shared" si="26"/>
        <v>0011</v>
      </c>
      <c r="U90" s="9" t="str">
        <f t="shared" si="27"/>
        <v>000</v>
      </c>
      <c r="V90" s="9" t="str">
        <f t="shared" si="28"/>
        <v>000</v>
      </c>
      <c r="W90" s="9" t="str">
        <f t="shared" si="29"/>
        <v>0</v>
      </c>
      <c r="X90" s="9" t="str">
        <f t="shared" si="30"/>
        <v>0000000</v>
      </c>
      <c r="Y90" s="4" t="str">
        <f t="shared" si="19"/>
        <v>011000000001100010001100000000000000</v>
      </c>
    </row>
    <row r="91" spans="1:25" s="9" customFormat="1" x14ac:dyDescent="0.3">
      <c r="A91" s="4" t="s">
        <v>247</v>
      </c>
      <c r="B91" s="4">
        <v>88</v>
      </c>
      <c r="C91" s="26" t="str">
        <f t="shared" si="20"/>
        <v>0x58</v>
      </c>
      <c r="D91" s="21" t="str">
        <f t="shared" si="18"/>
        <v>0x923600F00</v>
      </c>
      <c r="E91" s="16" t="s">
        <v>153</v>
      </c>
      <c r="F91" s="16" t="s">
        <v>118</v>
      </c>
      <c r="G91" s="16" t="s">
        <v>200</v>
      </c>
      <c r="H91" s="16" t="s">
        <v>144</v>
      </c>
      <c r="I91" s="17" t="s">
        <v>104</v>
      </c>
      <c r="J91" s="16" t="s">
        <v>103</v>
      </c>
      <c r="K91" s="16" t="s">
        <v>114</v>
      </c>
      <c r="L91" s="17" t="s">
        <v>149</v>
      </c>
      <c r="M91" s="4" t="s">
        <v>107</v>
      </c>
      <c r="N91" s="16" t="s">
        <v>176</v>
      </c>
      <c r="O91" s="9" t="str">
        <f t="shared" si="21"/>
        <v>1001</v>
      </c>
      <c r="P91" s="9" t="str">
        <f t="shared" si="22"/>
        <v>0010</v>
      </c>
      <c r="Q91" s="9" t="str">
        <f t="shared" si="23"/>
        <v>0011</v>
      </c>
      <c r="R91" s="9" t="str">
        <f t="shared" si="24"/>
        <v>0110</v>
      </c>
      <c r="S91" s="9" t="str">
        <f t="shared" si="25"/>
        <v>00</v>
      </c>
      <c r="T91" s="9" t="str">
        <f t="shared" si="26"/>
        <v>0000</v>
      </c>
      <c r="U91" s="9" t="str">
        <f t="shared" si="27"/>
        <v>001</v>
      </c>
      <c r="V91" s="9" t="str">
        <f t="shared" si="28"/>
        <v>111</v>
      </c>
      <c r="W91" s="9" t="str">
        <f t="shared" si="29"/>
        <v>0</v>
      </c>
      <c r="X91" s="9" t="str">
        <f t="shared" si="30"/>
        <v>0000000</v>
      </c>
      <c r="Y91" s="4" t="str">
        <f t="shared" si="19"/>
        <v>100100100011011000000000111100000000</v>
      </c>
    </row>
    <row r="92" spans="1:25" s="9" customFormat="1" x14ac:dyDescent="0.3">
      <c r="A92" s="4" t="s">
        <v>75</v>
      </c>
      <c r="B92" s="4">
        <v>89</v>
      </c>
      <c r="C92" s="26" t="str">
        <f t="shared" si="20"/>
        <v>0x59</v>
      </c>
      <c r="D92" s="21" t="str">
        <f t="shared" si="18"/>
        <v>0x953600F00</v>
      </c>
      <c r="E92" s="16" t="s">
        <v>153</v>
      </c>
      <c r="F92" s="16" t="s">
        <v>201</v>
      </c>
      <c r="G92" s="16" t="s">
        <v>200</v>
      </c>
      <c r="H92" s="16" t="s">
        <v>144</v>
      </c>
      <c r="I92" s="17" t="s">
        <v>104</v>
      </c>
      <c r="J92" s="16" t="s">
        <v>103</v>
      </c>
      <c r="K92" s="16" t="s">
        <v>114</v>
      </c>
      <c r="L92" s="17" t="s">
        <v>149</v>
      </c>
      <c r="M92" s="4" t="s">
        <v>107</v>
      </c>
      <c r="N92" s="16" t="s">
        <v>176</v>
      </c>
      <c r="O92" s="9" t="str">
        <f t="shared" si="21"/>
        <v>1001</v>
      </c>
      <c r="P92" s="9" t="str">
        <f t="shared" si="22"/>
        <v>0101</v>
      </c>
      <c r="Q92" s="9" t="str">
        <f t="shared" si="23"/>
        <v>0011</v>
      </c>
      <c r="R92" s="9" t="str">
        <f t="shared" si="24"/>
        <v>0110</v>
      </c>
      <c r="S92" s="9" t="str">
        <f t="shared" si="25"/>
        <v>00</v>
      </c>
      <c r="T92" s="9" t="str">
        <f t="shared" si="26"/>
        <v>0000</v>
      </c>
      <c r="U92" s="9" t="str">
        <f t="shared" si="27"/>
        <v>001</v>
      </c>
      <c r="V92" s="9" t="str">
        <f t="shared" si="28"/>
        <v>111</v>
      </c>
      <c r="W92" s="9" t="str">
        <f t="shared" si="29"/>
        <v>0</v>
      </c>
      <c r="X92" s="9" t="str">
        <f t="shared" si="30"/>
        <v>0000000</v>
      </c>
      <c r="Y92" s="4" t="str">
        <f t="shared" si="19"/>
        <v>100101010011011000000000111100000000</v>
      </c>
    </row>
    <row r="93" spans="1:25" s="9" customFormat="1" x14ac:dyDescent="0.3">
      <c r="A93" s="4" t="s">
        <v>76</v>
      </c>
      <c r="B93" s="4">
        <v>90</v>
      </c>
      <c r="C93" s="26" t="str">
        <f t="shared" si="20"/>
        <v>0x5A</v>
      </c>
      <c r="D93" s="21" t="str">
        <f t="shared" si="18"/>
        <v>0x1A5100F00</v>
      </c>
      <c r="E93" s="16" t="s">
        <v>108</v>
      </c>
      <c r="F93" s="16" t="s">
        <v>157</v>
      </c>
      <c r="G93" s="16" t="s">
        <v>137</v>
      </c>
      <c r="H93" s="16" t="s">
        <v>111</v>
      </c>
      <c r="I93" s="17" t="s">
        <v>104</v>
      </c>
      <c r="J93" s="16" t="s">
        <v>103</v>
      </c>
      <c r="K93" s="16" t="s">
        <v>114</v>
      </c>
      <c r="L93" s="17" t="s">
        <v>149</v>
      </c>
      <c r="M93" s="4" t="s">
        <v>107</v>
      </c>
      <c r="N93" s="16" t="s">
        <v>176</v>
      </c>
      <c r="O93" s="9" t="str">
        <f t="shared" si="21"/>
        <v>0001</v>
      </c>
      <c r="P93" s="9" t="str">
        <f t="shared" si="22"/>
        <v>1010</v>
      </c>
      <c r="Q93" s="9" t="str">
        <f t="shared" si="23"/>
        <v>0101</v>
      </c>
      <c r="R93" s="9" t="str">
        <f t="shared" si="24"/>
        <v>0001</v>
      </c>
      <c r="S93" s="9" t="str">
        <f t="shared" si="25"/>
        <v>00</v>
      </c>
      <c r="T93" s="9" t="str">
        <f t="shared" si="26"/>
        <v>0000</v>
      </c>
      <c r="U93" s="9" t="str">
        <f t="shared" si="27"/>
        <v>001</v>
      </c>
      <c r="V93" s="9" t="str">
        <f t="shared" si="28"/>
        <v>111</v>
      </c>
      <c r="W93" s="9" t="str">
        <f t="shared" si="29"/>
        <v>0</v>
      </c>
      <c r="X93" s="9" t="str">
        <f t="shared" si="30"/>
        <v>0000000</v>
      </c>
      <c r="Y93" s="4" t="str">
        <f t="shared" si="19"/>
        <v>000110100101000100000000111100000000</v>
      </c>
    </row>
    <row r="94" spans="1:25" s="9" customFormat="1" x14ac:dyDescent="0.3">
      <c r="A94" s="4" t="s">
        <v>248</v>
      </c>
      <c r="B94" s="4">
        <v>91</v>
      </c>
      <c r="C94" s="26" t="str">
        <f t="shared" si="20"/>
        <v>0x5B</v>
      </c>
      <c r="D94" s="21" t="str">
        <f t="shared" si="18"/>
        <v>0x000000000</v>
      </c>
      <c r="E94" s="16" t="s">
        <v>103</v>
      </c>
      <c r="F94" s="16" t="s">
        <v>103</v>
      </c>
      <c r="G94" s="16" t="s">
        <v>103</v>
      </c>
      <c r="H94" s="16" t="s">
        <v>103</v>
      </c>
      <c r="I94" s="17" t="s">
        <v>104</v>
      </c>
      <c r="J94" s="16" t="s">
        <v>103</v>
      </c>
      <c r="K94" s="16" t="s">
        <v>105</v>
      </c>
      <c r="L94" s="17" t="s">
        <v>106</v>
      </c>
      <c r="M94" s="4" t="s">
        <v>107</v>
      </c>
      <c r="N94" s="16" t="s">
        <v>175</v>
      </c>
      <c r="O94" s="9" t="str">
        <f t="shared" si="21"/>
        <v>0000</v>
      </c>
      <c r="P94" s="9" t="str">
        <f t="shared" si="22"/>
        <v>0000</v>
      </c>
      <c r="Q94" s="9" t="str">
        <f t="shared" si="23"/>
        <v>0000</v>
      </c>
      <c r="R94" s="9" t="str">
        <f t="shared" si="24"/>
        <v>0000</v>
      </c>
      <c r="S94" s="9" t="str">
        <f t="shared" si="25"/>
        <v>00</v>
      </c>
      <c r="T94" s="9" t="str">
        <f t="shared" si="26"/>
        <v>0000</v>
      </c>
      <c r="U94" s="9" t="str">
        <f t="shared" si="27"/>
        <v>000</v>
      </c>
      <c r="V94" s="9" t="str">
        <f t="shared" si="28"/>
        <v>000</v>
      </c>
      <c r="W94" s="9" t="str">
        <f t="shared" si="29"/>
        <v>0</v>
      </c>
      <c r="X94" s="9" t="str">
        <f t="shared" si="30"/>
        <v>0000000</v>
      </c>
      <c r="Y94" s="4" t="str">
        <f t="shared" si="19"/>
        <v>000000000000000000000000000000000000</v>
      </c>
    </row>
    <row r="95" spans="1:25" s="9" customFormat="1" x14ac:dyDescent="0.3">
      <c r="A95" s="4" t="s">
        <v>77</v>
      </c>
      <c r="B95" s="4">
        <v>92</v>
      </c>
      <c r="C95" s="26" t="str">
        <f t="shared" si="20"/>
        <v>0x5C</v>
      </c>
      <c r="D95" s="21" t="str">
        <f t="shared" si="18"/>
        <v>0x1A6100F00</v>
      </c>
      <c r="E95" s="16" t="s">
        <v>108</v>
      </c>
      <c r="F95" s="16" t="s">
        <v>157</v>
      </c>
      <c r="G95" s="16" t="s">
        <v>143</v>
      </c>
      <c r="H95" s="16" t="s">
        <v>111</v>
      </c>
      <c r="I95" s="17" t="s">
        <v>104</v>
      </c>
      <c r="J95" s="16" t="s">
        <v>103</v>
      </c>
      <c r="K95" s="16" t="s">
        <v>114</v>
      </c>
      <c r="L95" s="17" t="s">
        <v>149</v>
      </c>
      <c r="M95" s="4" t="s">
        <v>107</v>
      </c>
      <c r="N95" s="16" t="s">
        <v>176</v>
      </c>
      <c r="O95" s="9" t="str">
        <f t="shared" si="21"/>
        <v>0001</v>
      </c>
      <c r="P95" s="9" t="str">
        <f t="shared" si="22"/>
        <v>1010</v>
      </c>
      <c r="Q95" s="9" t="str">
        <f t="shared" si="23"/>
        <v>0110</v>
      </c>
      <c r="R95" s="9" t="str">
        <f t="shared" si="24"/>
        <v>0001</v>
      </c>
      <c r="S95" s="9" t="str">
        <f t="shared" si="25"/>
        <v>00</v>
      </c>
      <c r="T95" s="9" t="str">
        <f t="shared" si="26"/>
        <v>0000</v>
      </c>
      <c r="U95" s="9" t="str">
        <f t="shared" si="27"/>
        <v>001</v>
      </c>
      <c r="V95" s="9" t="str">
        <f t="shared" si="28"/>
        <v>111</v>
      </c>
      <c r="W95" s="9" t="str">
        <f t="shared" si="29"/>
        <v>0</v>
      </c>
      <c r="X95" s="9" t="str">
        <f t="shared" si="30"/>
        <v>0000000</v>
      </c>
      <c r="Y95" s="4" t="str">
        <f t="shared" si="19"/>
        <v>000110100110000100000000111100000000</v>
      </c>
    </row>
    <row r="96" spans="1:25" s="9" customFormat="1" x14ac:dyDescent="0.3">
      <c r="A96" s="4" t="s">
        <v>249</v>
      </c>
      <c r="B96" s="4">
        <v>93</v>
      </c>
      <c r="C96" s="26" t="str">
        <f t="shared" si="20"/>
        <v>0x5D</v>
      </c>
      <c r="D96" s="21" t="str">
        <f t="shared" si="18"/>
        <v>0x000000000</v>
      </c>
      <c r="E96" s="16" t="s">
        <v>103</v>
      </c>
      <c r="F96" s="16" t="s">
        <v>103</v>
      </c>
      <c r="G96" s="16" t="s">
        <v>103</v>
      </c>
      <c r="H96" s="16" t="s">
        <v>103</v>
      </c>
      <c r="I96" s="17" t="s">
        <v>104</v>
      </c>
      <c r="J96" s="16" t="s">
        <v>103</v>
      </c>
      <c r="K96" s="16" t="s">
        <v>105</v>
      </c>
      <c r="L96" s="17" t="s">
        <v>106</v>
      </c>
      <c r="M96" s="4" t="s">
        <v>107</v>
      </c>
      <c r="N96" s="16" t="s">
        <v>175</v>
      </c>
      <c r="O96" s="9" t="str">
        <f t="shared" si="21"/>
        <v>0000</v>
      </c>
      <c r="P96" s="9" t="str">
        <f t="shared" si="22"/>
        <v>0000</v>
      </c>
      <c r="Q96" s="9" t="str">
        <f t="shared" si="23"/>
        <v>0000</v>
      </c>
      <c r="R96" s="9" t="str">
        <f t="shared" si="24"/>
        <v>0000</v>
      </c>
      <c r="S96" s="9" t="str">
        <f t="shared" si="25"/>
        <v>00</v>
      </c>
      <c r="T96" s="9" t="str">
        <f t="shared" si="26"/>
        <v>0000</v>
      </c>
      <c r="U96" s="9" t="str">
        <f t="shared" si="27"/>
        <v>000</v>
      </c>
      <c r="V96" s="9" t="str">
        <f t="shared" si="28"/>
        <v>000</v>
      </c>
      <c r="W96" s="9" t="str">
        <f t="shared" si="29"/>
        <v>0</v>
      </c>
      <c r="X96" s="9" t="str">
        <f t="shared" si="30"/>
        <v>0000000</v>
      </c>
      <c r="Y96" s="4" t="str">
        <f t="shared" si="19"/>
        <v>000000000000000000000000000000000000</v>
      </c>
    </row>
    <row r="97" spans="1:25" s="9" customFormat="1" x14ac:dyDescent="0.3">
      <c r="A97" s="4" t="s">
        <v>78</v>
      </c>
      <c r="B97" s="4">
        <v>94</v>
      </c>
      <c r="C97" s="26" t="str">
        <f t="shared" si="20"/>
        <v>0x5E</v>
      </c>
      <c r="D97" s="21" t="str">
        <f t="shared" si="18"/>
        <v>0x000000F00</v>
      </c>
      <c r="E97" s="16" t="s">
        <v>103</v>
      </c>
      <c r="F97" s="16" t="s">
        <v>103</v>
      </c>
      <c r="G97" s="16" t="s">
        <v>103</v>
      </c>
      <c r="H97" s="16" t="s">
        <v>103</v>
      </c>
      <c r="I97" s="17" t="s">
        <v>104</v>
      </c>
      <c r="J97" s="16" t="s">
        <v>103</v>
      </c>
      <c r="K97" s="16" t="s">
        <v>114</v>
      </c>
      <c r="L97" s="17" t="s">
        <v>149</v>
      </c>
      <c r="M97" s="4" t="s">
        <v>107</v>
      </c>
      <c r="N97" s="16" t="s">
        <v>176</v>
      </c>
      <c r="O97" s="9" t="str">
        <f t="shared" si="21"/>
        <v>0000</v>
      </c>
      <c r="P97" s="9" t="str">
        <f t="shared" si="22"/>
        <v>0000</v>
      </c>
      <c r="Q97" s="9" t="str">
        <f t="shared" si="23"/>
        <v>0000</v>
      </c>
      <c r="R97" s="9" t="str">
        <f t="shared" si="24"/>
        <v>0000</v>
      </c>
      <c r="S97" s="9" t="str">
        <f t="shared" si="25"/>
        <v>00</v>
      </c>
      <c r="T97" s="9" t="str">
        <f t="shared" si="26"/>
        <v>0000</v>
      </c>
      <c r="U97" s="9" t="str">
        <f t="shared" si="27"/>
        <v>001</v>
      </c>
      <c r="V97" s="9" t="str">
        <f t="shared" si="28"/>
        <v>111</v>
      </c>
      <c r="W97" s="9" t="str">
        <f t="shared" si="29"/>
        <v>0</v>
      </c>
      <c r="X97" s="9" t="str">
        <f t="shared" si="30"/>
        <v>0000000</v>
      </c>
      <c r="Y97" s="4" t="str">
        <f t="shared" si="19"/>
        <v>000000000000000000000000111100000000</v>
      </c>
    </row>
    <row r="98" spans="1:25" s="9" customFormat="1" x14ac:dyDescent="0.3">
      <c r="A98" s="4"/>
      <c r="B98" s="4">
        <v>95</v>
      </c>
      <c r="C98" s="26" t="str">
        <f t="shared" si="20"/>
        <v>0x5F</v>
      </c>
      <c r="D98" s="21" t="str">
        <f t="shared" si="18"/>
        <v>0x000000000</v>
      </c>
      <c r="E98" s="16" t="s">
        <v>103</v>
      </c>
      <c r="F98" s="16" t="s">
        <v>103</v>
      </c>
      <c r="G98" s="16" t="s">
        <v>103</v>
      </c>
      <c r="H98" s="16" t="s">
        <v>103</v>
      </c>
      <c r="I98" s="17" t="s">
        <v>104</v>
      </c>
      <c r="J98" s="16" t="s">
        <v>103</v>
      </c>
      <c r="K98" s="16" t="s">
        <v>105</v>
      </c>
      <c r="L98" s="17" t="s">
        <v>106</v>
      </c>
      <c r="M98" s="4" t="s">
        <v>107</v>
      </c>
      <c r="N98" s="16" t="s">
        <v>175</v>
      </c>
      <c r="O98" s="9" t="str">
        <f t="shared" si="21"/>
        <v>0000</v>
      </c>
      <c r="P98" s="9" t="str">
        <f t="shared" si="22"/>
        <v>0000</v>
      </c>
      <c r="Q98" s="9" t="str">
        <f t="shared" si="23"/>
        <v>0000</v>
      </c>
      <c r="R98" s="9" t="str">
        <f t="shared" si="24"/>
        <v>0000</v>
      </c>
      <c r="S98" s="9" t="str">
        <f t="shared" si="25"/>
        <v>00</v>
      </c>
      <c r="T98" s="9" t="str">
        <f t="shared" si="26"/>
        <v>0000</v>
      </c>
      <c r="U98" s="9" t="str">
        <f t="shared" si="27"/>
        <v>000</v>
      </c>
      <c r="V98" s="9" t="str">
        <f t="shared" si="28"/>
        <v>000</v>
      </c>
      <c r="W98" s="9" t="str">
        <f t="shared" si="29"/>
        <v>0</v>
      </c>
      <c r="X98" s="9" t="str">
        <f t="shared" si="30"/>
        <v>0000000</v>
      </c>
      <c r="Y98" s="4" t="str">
        <f t="shared" si="19"/>
        <v>000000000000000000000000000000000000</v>
      </c>
    </row>
    <row r="99" spans="1:25" s="9" customFormat="1" x14ac:dyDescent="0.3">
      <c r="A99" s="4" t="s">
        <v>79</v>
      </c>
      <c r="B99" s="4">
        <v>96</v>
      </c>
      <c r="C99" s="26" t="str">
        <f t="shared" si="20"/>
        <v>0x60</v>
      </c>
      <c r="D99" s="21" t="str">
        <f t="shared" ref="D99:D118" si="31">_xlfn.CONCAT("0x",BIN2HEX(LEFT(Y99,4)),BIN2HEX(MID(Y99,5,4)), BIN2HEX(MID(Y99,9,4)), BIN2HEX(MID(Y99,13,4)), BIN2HEX(MID(Y99,17,4)), BIN2HEX(MID(Y99,21,4)), BIN2HEX(MID(Y99,25,4)), BIN2HEX(MID(Y99,29,4)), BIN2HEX(RIGHT(Y99,4)))</f>
        <v>0x00002C000</v>
      </c>
      <c r="E99" s="16" t="s">
        <v>103</v>
      </c>
      <c r="F99" s="16" t="s">
        <v>103</v>
      </c>
      <c r="G99" s="16" t="s">
        <v>103</v>
      </c>
      <c r="H99" s="16" t="s">
        <v>103</v>
      </c>
      <c r="I99" s="17" t="s">
        <v>104</v>
      </c>
      <c r="J99" s="16" t="s">
        <v>163</v>
      </c>
      <c r="K99" s="16" t="s">
        <v>105</v>
      </c>
      <c r="L99" s="17" t="s">
        <v>106</v>
      </c>
      <c r="M99" s="4" t="s">
        <v>107</v>
      </c>
      <c r="N99" s="16" t="s">
        <v>175</v>
      </c>
      <c r="O99" s="9" t="str">
        <f t="shared" si="21"/>
        <v>0000</v>
      </c>
      <c r="P99" s="9" t="str">
        <f t="shared" si="22"/>
        <v>0000</v>
      </c>
      <c r="Q99" s="9" t="str">
        <f t="shared" si="23"/>
        <v>0000</v>
      </c>
      <c r="R99" s="9" t="str">
        <f t="shared" si="24"/>
        <v>0000</v>
      </c>
      <c r="S99" s="9" t="str">
        <f t="shared" si="25"/>
        <v>00</v>
      </c>
      <c r="T99" s="9" t="str">
        <f t="shared" si="26"/>
        <v>1011</v>
      </c>
      <c r="U99" s="9" t="str">
        <f t="shared" si="27"/>
        <v>000</v>
      </c>
      <c r="V99" s="9" t="str">
        <f t="shared" si="28"/>
        <v>000</v>
      </c>
      <c r="W99" s="9" t="str">
        <f t="shared" si="29"/>
        <v>0</v>
      </c>
      <c r="X99" s="9" t="str">
        <f t="shared" si="30"/>
        <v>0000000</v>
      </c>
      <c r="Y99" s="4" t="str">
        <f t="shared" ref="Y99:Y118" si="32">_xlfn.CONCAT(O99, P99, Q99, R99, S99, T99, U99, V99, W99, X99)</f>
        <v>000000000000000000101100000000000000</v>
      </c>
    </row>
    <row r="100" spans="1:25" s="9" customFormat="1" x14ac:dyDescent="0.3">
      <c r="A100" s="4"/>
      <c r="B100" s="4">
        <v>97</v>
      </c>
      <c r="C100" s="26" t="str">
        <f t="shared" si="20"/>
        <v>0x61</v>
      </c>
      <c r="D100" s="21" t="str">
        <f t="shared" si="31"/>
        <v>0x000000000</v>
      </c>
      <c r="E100" s="16" t="s">
        <v>103</v>
      </c>
      <c r="F100" s="16" t="s">
        <v>103</v>
      </c>
      <c r="G100" s="16" t="s">
        <v>103</v>
      </c>
      <c r="H100" s="16" t="s">
        <v>103</v>
      </c>
      <c r="I100" s="17" t="s">
        <v>104</v>
      </c>
      <c r="J100" s="16" t="s">
        <v>103</v>
      </c>
      <c r="K100" s="16" t="s">
        <v>105</v>
      </c>
      <c r="L100" s="17" t="s">
        <v>106</v>
      </c>
      <c r="M100" s="4" t="s">
        <v>107</v>
      </c>
      <c r="N100" s="16" t="s">
        <v>175</v>
      </c>
      <c r="O100" s="9" t="str">
        <f t="shared" si="21"/>
        <v>0000</v>
      </c>
      <c r="P100" s="9" t="str">
        <f t="shared" si="22"/>
        <v>0000</v>
      </c>
      <c r="Q100" s="9" t="str">
        <f t="shared" si="23"/>
        <v>0000</v>
      </c>
      <c r="R100" s="9" t="str">
        <f t="shared" si="24"/>
        <v>0000</v>
      </c>
      <c r="S100" s="9" t="str">
        <f t="shared" si="25"/>
        <v>00</v>
      </c>
      <c r="T100" s="9" t="str">
        <f t="shared" si="26"/>
        <v>0000</v>
      </c>
      <c r="U100" s="9" t="str">
        <f t="shared" si="27"/>
        <v>000</v>
      </c>
      <c r="V100" s="9" t="str">
        <f t="shared" si="28"/>
        <v>000</v>
      </c>
      <c r="W100" s="9" t="str">
        <f t="shared" si="29"/>
        <v>0</v>
      </c>
      <c r="X100" s="9" t="str">
        <f t="shared" si="30"/>
        <v>0000000</v>
      </c>
      <c r="Y100" s="4" t="str">
        <f t="shared" si="32"/>
        <v>000000000000000000000000000000000000</v>
      </c>
    </row>
    <row r="101" spans="1:25" s="9" customFormat="1" x14ac:dyDescent="0.3">
      <c r="A101" s="4" t="s">
        <v>80</v>
      </c>
      <c r="B101" s="4">
        <v>98</v>
      </c>
      <c r="C101" s="26" t="str">
        <f t="shared" si="20"/>
        <v>0x62</v>
      </c>
      <c r="D101" s="21" t="str">
        <f t="shared" si="31"/>
        <v>0x000024F00</v>
      </c>
      <c r="E101" s="16" t="s">
        <v>103</v>
      </c>
      <c r="F101" s="16" t="s">
        <v>103</v>
      </c>
      <c r="G101" s="16" t="s">
        <v>103</v>
      </c>
      <c r="H101" s="16" t="s">
        <v>103</v>
      </c>
      <c r="I101" s="17" t="s">
        <v>104</v>
      </c>
      <c r="J101" s="16" t="s">
        <v>155</v>
      </c>
      <c r="K101" s="16" t="s">
        <v>114</v>
      </c>
      <c r="L101" s="17" t="s">
        <v>149</v>
      </c>
      <c r="M101" s="4" t="s">
        <v>107</v>
      </c>
      <c r="N101" s="16" t="s">
        <v>176</v>
      </c>
      <c r="O101" s="9" t="str">
        <f t="shared" si="21"/>
        <v>0000</v>
      </c>
      <c r="P101" s="9" t="str">
        <f t="shared" si="22"/>
        <v>0000</v>
      </c>
      <c r="Q101" s="9" t="str">
        <f t="shared" si="23"/>
        <v>0000</v>
      </c>
      <c r="R101" s="9" t="str">
        <f t="shared" si="24"/>
        <v>0000</v>
      </c>
      <c r="S101" s="9" t="str">
        <f t="shared" si="25"/>
        <v>00</v>
      </c>
      <c r="T101" s="9" t="str">
        <f t="shared" si="26"/>
        <v>1001</v>
      </c>
      <c r="U101" s="9" t="str">
        <f t="shared" si="27"/>
        <v>001</v>
      </c>
      <c r="V101" s="9" t="str">
        <f t="shared" si="28"/>
        <v>111</v>
      </c>
      <c r="W101" s="9" t="str">
        <f t="shared" si="29"/>
        <v>0</v>
      </c>
      <c r="X101" s="9" t="str">
        <f t="shared" si="30"/>
        <v>0000000</v>
      </c>
      <c r="Y101" s="4" t="str">
        <f t="shared" si="32"/>
        <v>000000000000000000100100111100000000</v>
      </c>
    </row>
    <row r="102" spans="1:25" s="9" customFormat="1" x14ac:dyDescent="0.3">
      <c r="A102" s="4"/>
      <c r="B102" s="4">
        <v>99</v>
      </c>
      <c r="C102" s="26" t="str">
        <f t="shared" si="20"/>
        <v>0x63</v>
      </c>
      <c r="D102" s="21" t="str">
        <f t="shared" si="31"/>
        <v>0x000000000</v>
      </c>
      <c r="E102" s="16" t="s">
        <v>103</v>
      </c>
      <c r="F102" s="16" t="s">
        <v>103</v>
      </c>
      <c r="G102" s="16" t="s">
        <v>103</v>
      </c>
      <c r="H102" s="16" t="s">
        <v>103</v>
      </c>
      <c r="I102" s="17" t="s">
        <v>104</v>
      </c>
      <c r="J102" s="16" t="s">
        <v>103</v>
      </c>
      <c r="K102" s="16" t="s">
        <v>105</v>
      </c>
      <c r="L102" s="17" t="s">
        <v>106</v>
      </c>
      <c r="M102" s="4" t="s">
        <v>107</v>
      </c>
      <c r="N102" s="16" t="s">
        <v>175</v>
      </c>
      <c r="O102" s="9" t="str">
        <f t="shared" si="21"/>
        <v>0000</v>
      </c>
      <c r="P102" s="9" t="str">
        <f t="shared" si="22"/>
        <v>0000</v>
      </c>
      <c r="Q102" s="9" t="str">
        <f t="shared" si="23"/>
        <v>0000</v>
      </c>
      <c r="R102" s="9" t="str">
        <f t="shared" si="24"/>
        <v>0000</v>
      </c>
      <c r="S102" s="9" t="str">
        <f t="shared" si="25"/>
        <v>00</v>
      </c>
      <c r="T102" s="9" t="str">
        <f t="shared" si="26"/>
        <v>0000</v>
      </c>
      <c r="U102" s="9" t="str">
        <f t="shared" si="27"/>
        <v>000</v>
      </c>
      <c r="V102" s="9" t="str">
        <f t="shared" si="28"/>
        <v>000</v>
      </c>
      <c r="W102" s="9" t="str">
        <f t="shared" si="29"/>
        <v>0</v>
      </c>
      <c r="X102" s="9" t="str">
        <f t="shared" si="30"/>
        <v>0000000</v>
      </c>
      <c r="Y102" s="4" t="str">
        <f t="shared" si="32"/>
        <v>000000000000000000000000000000000000</v>
      </c>
    </row>
    <row r="103" spans="1:25" s="9" customFormat="1" x14ac:dyDescent="0.3">
      <c r="A103" s="4" t="s">
        <v>81</v>
      </c>
      <c r="B103" s="4">
        <v>100</v>
      </c>
      <c r="C103" s="26" t="str">
        <f t="shared" si="20"/>
        <v>0x64</v>
      </c>
      <c r="D103" s="21" t="str">
        <f t="shared" si="31"/>
        <v>0x000028800</v>
      </c>
      <c r="E103" s="16" t="s">
        <v>103</v>
      </c>
      <c r="F103" s="16" t="s">
        <v>103</v>
      </c>
      <c r="G103" s="16" t="s">
        <v>103</v>
      </c>
      <c r="H103" s="16" t="s">
        <v>103</v>
      </c>
      <c r="I103" s="17" t="s">
        <v>104</v>
      </c>
      <c r="J103" s="16" t="s">
        <v>159</v>
      </c>
      <c r="K103" s="16" t="s">
        <v>114</v>
      </c>
      <c r="L103" s="17" t="s">
        <v>106</v>
      </c>
      <c r="M103" s="4" t="s">
        <v>107</v>
      </c>
      <c r="N103" s="16" t="s">
        <v>176</v>
      </c>
      <c r="O103" s="9" t="str">
        <f t="shared" si="21"/>
        <v>0000</v>
      </c>
      <c r="P103" s="9" t="str">
        <f t="shared" si="22"/>
        <v>0000</v>
      </c>
      <c r="Q103" s="9" t="str">
        <f t="shared" si="23"/>
        <v>0000</v>
      </c>
      <c r="R103" s="9" t="str">
        <f t="shared" si="24"/>
        <v>0000</v>
      </c>
      <c r="S103" s="9" t="str">
        <f t="shared" si="25"/>
        <v>00</v>
      </c>
      <c r="T103" s="9" t="str">
        <f t="shared" si="26"/>
        <v>1010</v>
      </c>
      <c r="U103" s="9" t="str">
        <f t="shared" si="27"/>
        <v>001</v>
      </c>
      <c r="V103" s="9" t="str">
        <f t="shared" si="28"/>
        <v>000</v>
      </c>
      <c r="W103" s="9" t="str">
        <f t="shared" si="29"/>
        <v>0</v>
      </c>
      <c r="X103" s="9" t="str">
        <f t="shared" si="30"/>
        <v>0000000</v>
      </c>
      <c r="Y103" s="4" t="str">
        <f t="shared" si="32"/>
        <v>000000000000000000101000100000000000</v>
      </c>
    </row>
    <row r="104" spans="1:25" s="9" customFormat="1" x14ac:dyDescent="0.3">
      <c r="A104" s="4"/>
      <c r="B104" s="4">
        <v>101</v>
      </c>
      <c r="C104" s="26" t="str">
        <f t="shared" si="20"/>
        <v>0x65</v>
      </c>
      <c r="D104" s="21" t="str">
        <f t="shared" si="31"/>
        <v>0x000000000</v>
      </c>
      <c r="E104" s="16" t="s">
        <v>103</v>
      </c>
      <c r="F104" s="16" t="s">
        <v>103</v>
      </c>
      <c r="G104" s="16" t="s">
        <v>103</v>
      </c>
      <c r="H104" s="16" t="s">
        <v>103</v>
      </c>
      <c r="I104" s="17" t="s">
        <v>104</v>
      </c>
      <c r="J104" s="16" t="s">
        <v>103</v>
      </c>
      <c r="K104" s="16" t="s">
        <v>105</v>
      </c>
      <c r="L104" s="17" t="s">
        <v>106</v>
      </c>
      <c r="M104" s="4" t="s">
        <v>107</v>
      </c>
      <c r="N104" s="16" t="s">
        <v>175</v>
      </c>
      <c r="O104" s="9" t="str">
        <f t="shared" si="21"/>
        <v>0000</v>
      </c>
      <c r="P104" s="9" t="str">
        <f t="shared" si="22"/>
        <v>0000</v>
      </c>
      <c r="Q104" s="9" t="str">
        <f t="shared" si="23"/>
        <v>0000</v>
      </c>
      <c r="R104" s="9" t="str">
        <f t="shared" si="24"/>
        <v>0000</v>
      </c>
      <c r="S104" s="9" t="str">
        <f t="shared" si="25"/>
        <v>00</v>
      </c>
      <c r="T104" s="9" t="str">
        <f t="shared" si="26"/>
        <v>0000</v>
      </c>
      <c r="U104" s="9" t="str">
        <f t="shared" si="27"/>
        <v>000</v>
      </c>
      <c r="V104" s="9" t="str">
        <f t="shared" si="28"/>
        <v>000</v>
      </c>
      <c r="W104" s="9" t="str">
        <f t="shared" si="29"/>
        <v>0</v>
      </c>
      <c r="X104" s="9" t="str">
        <f t="shared" si="30"/>
        <v>0000000</v>
      </c>
      <c r="Y104" s="4" t="str">
        <f t="shared" si="32"/>
        <v>000000000000000000000000000000000000</v>
      </c>
    </row>
    <row r="105" spans="1:25" s="9" customFormat="1" x14ac:dyDescent="0.3">
      <c r="A105" s="4" t="s">
        <v>82</v>
      </c>
      <c r="B105" s="4">
        <v>102</v>
      </c>
      <c r="C105" s="26" t="str">
        <f t="shared" si="20"/>
        <v>0x66</v>
      </c>
      <c r="D105" s="21" t="str">
        <f t="shared" si="31"/>
        <v>0x301808000</v>
      </c>
      <c r="E105" s="16" t="s">
        <v>124</v>
      </c>
      <c r="F105" s="16" t="s">
        <v>103</v>
      </c>
      <c r="G105" s="16" t="s">
        <v>110</v>
      </c>
      <c r="H105" s="16" t="s">
        <v>152</v>
      </c>
      <c r="I105" s="17" t="s">
        <v>104</v>
      </c>
      <c r="J105" s="16" t="s">
        <v>122</v>
      </c>
      <c r="K105" s="16" t="s">
        <v>105</v>
      </c>
      <c r="L105" s="17" t="s">
        <v>106</v>
      </c>
      <c r="M105" s="4" t="s">
        <v>107</v>
      </c>
      <c r="N105" s="16" t="s">
        <v>175</v>
      </c>
      <c r="O105" s="9" t="str">
        <f t="shared" si="21"/>
        <v>0011</v>
      </c>
      <c r="P105" s="9" t="str">
        <f t="shared" si="22"/>
        <v>0000</v>
      </c>
      <c r="Q105" s="9" t="str">
        <f t="shared" si="23"/>
        <v>0001</v>
      </c>
      <c r="R105" s="9" t="str">
        <f t="shared" si="24"/>
        <v>1000</v>
      </c>
      <c r="S105" s="9" t="str">
        <f t="shared" si="25"/>
        <v>00</v>
      </c>
      <c r="T105" s="9" t="str">
        <f t="shared" si="26"/>
        <v>0010</v>
      </c>
      <c r="U105" s="9" t="str">
        <f t="shared" si="27"/>
        <v>000</v>
      </c>
      <c r="V105" s="9" t="str">
        <f t="shared" si="28"/>
        <v>000</v>
      </c>
      <c r="W105" s="9" t="str">
        <f t="shared" si="29"/>
        <v>0</v>
      </c>
      <c r="X105" s="9" t="str">
        <f t="shared" si="30"/>
        <v>0000000</v>
      </c>
      <c r="Y105" s="4" t="str">
        <f t="shared" si="32"/>
        <v>001100000001100000001000000000000000</v>
      </c>
    </row>
    <row r="106" spans="1:25" s="9" customFormat="1" x14ac:dyDescent="0.3">
      <c r="A106" s="4" t="s">
        <v>255</v>
      </c>
      <c r="B106" s="4">
        <v>103</v>
      </c>
      <c r="C106" s="26" t="str">
        <f t="shared" si="20"/>
        <v>0x67</v>
      </c>
      <c r="D106" s="21" t="str">
        <f t="shared" si="31"/>
        <v>0x6019C0F00</v>
      </c>
      <c r="E106" s="16" t="s">
        <v>141</v>
      </c>
      <c r="F106" s="16" t="s">
        <v>103</v>
      </c>
      <c r="G106" s="16" t="s">
        <v>110</v>
      </c>
      <c r="H106" s="16" t="s">
        <v>154</v>
      </c>
      <c r="I106" s="17" t="s">
        <v>127</v>
      </c>
      <c r="J106" s="16" t="s">
        <v>103</v>
      </c>
      <c r="K106" s="16" t="s">
        <v>114</v>
      </c>
      <c r="L106" s="17" t="s">
        <v>149</v>
      </c>
      <c r="M106" s="4" t="s">
        <v>107</v>
      </c>
      <c r="N106" s="16" t="s">
        <v>176</v>
      </c>
      <c r="O106" s="9" t="str">
        <f t="shared" si="21"/>
        <v>0110</v>
      </c>
      <c r="P106" s="9" t="str">
        <f t="shared" si="22"/>
        <v>0000</v>
      </c>
      <c r="Q106" s="9" t="str">
        <f t="shared" si="23"/>
        <v>0001</v>
      </c>
      <c r="R106" s="9" t="str">
        <f t="shared" si="24"/>
        <v>1001</v>
      </c>
      <c r="S106" s="9" t="str">
        <f t="shared" si="25"/>
        <v>11</v>
      </c>
      <c r="T106" s="9" t="str">
        <f t="shared" si="26"/>
        <v>0000</v>
      </c>
      <c r="U106" s="9" t="str">
        <f t="shared" si="27"/>
        <v>001</v>
      </c>
      <c r="V106" s="9" t="str">
        <f t="shared" si="28"/>
        <v>111</v>
      </c>
      <c r="W106" s="9" t="str">
        <f t="shared" si="29"/>
        <v>0</v>
      </c>
      <c r="X106" s="9" t="str">
        <f t="shared" si="30"/>
        <v>0000000</v>
      </c>
      <c r="Y106" s="4" t="str">
        <f t="shared" si="32"/>
        <v>011000000001100111000000111100000000</v>
      </c>
    </row>
    <row r="107" spans="1:25" s="9" customFormat="1" x14ac:dyDescent="0.3">
      <c r="A107" s="4" t="s">
        <v>83</v>
      </c>
      <c r="B107" s="4">
        <v>104</v>
      </c>
      <c r="C107" s="26" t="str">
        <f t="shared" si="20"/>
        <v>0x68</v>
      </c>
      <c r="D107" s="21" t="str">
        <f t="shared" si="31"/>
        <v>0x301880000</v>
      </c>
      <c r="E107" s="16" t="s">
        <v>124</v>
      </c>
      <c r="F107" s="16" t="s">
        <v>103</v>
      </c>
      <c r="G107" s="16" t="s">
        <v>110</v>
      </c>
      <c r="H107" s="16" t="s">
        <v>152</v>
      </c>
      <c r="I107" s="17" t="s">
        <v>121</v>
      </c>
      <c r="J107" s="16" t="s">
        <v>103</v>
      </c>
      <c r="K107" s="16" t="s">
        <v>105</v>
      </c>
      <c r="L107" s="17" t="s">
        <v>106</v>
      </c>
      <c r="M107" s="4" t="s">
        <v>107</v>
      </c>
      <c r="N107" s="16" t="s">
        <v>175</v>
      </c>
      <c r="O107" s="9" t="str">
        <f t="shared" si="21"/>
        <v>0011</v>
      </c>
      <c r="P107" s="9" t="str">
        <f t="shared" si="22"/>
        <v>0000</v>
      </c>
      <c r="Q107" s="9" t="str">
        <f t="shared" si="23"/>
        <v>0001</v>
      </c>
      <c r="R107" s="9" t="str">
        <f t="shared" si="24"/>
        <v>1000</v>
      </c>
      <c r="S107" s="9" t="str">
        <f t="shared" si="25"/>
        <v>10</v>
      </c>
      <c r="T107" s="9" t="str">
        <f t="shared" si="26"/>
        <v>0000</v>
      </c>
      <c r="U107" s="9" t="str">
        <f t="shared" si="27"/>
        <v>000</v>
      </c>
      <c r="V107" s="9" t="str">
        <f t="shared" si="28"/>
        <v>000</v>
      </c>
      <c r="W107" s="9" t="str">
        <f t="shared" si="29"/>
        <v>0</v>
      </c>
      <c r="X107" s="9" t="str">
        <f t="shared" si="30"/>
        <v>0000000</v>
      </c>
      <c r="Y107" s="4" t="str">
        <f t="shared" si="32"/>
        <v>001100000001100010000000000000000000</v>
      </c>
    </row>
    <row r="108" spans="1:25" s="9" customFormat="1" x14ac:dyDescent="0.3">
      <c r="A108" s="4" t="s">
        <v>252</v>
      </c>
      <c r="B108" s="4">
        <v>105</v>
      </c>
      <c r="C108" s="26" t="str">
        <f t="shared" si="20"/>
        <v>0x69</v>
      </c>
      <c r="D108" s="21" t="str">
        <f t="shared" si="31"/>
        <v>0x901604F00</v>
      </c>
      <c r="E108" s="16" t="s">
        <v>153</v>
      </c>
      <c r="F108" s="16" t="s">
        <v>103</v>
      </c>
      <c r="G108" s="16" t="s">
        <v>110</v>
      </c>
      <c r="H108" s="16" t="s">
        <v>144</v>
      </c>
      <c r="I108" s="17" t="s">
        <v>104</v>
      </c>
      <c r="J108" s="16" t="s">
        <v>113</v>
      </c>
      <c r="K108" s="16" t="s">
        <v>114</v>
      </c>
      <c r="L108" s="17" t="s">
        <v>149</v>
      </c>
      <c r="M108" s="4" t="s">
        <v>107</v>
      </c>
      <c r="N108" s="16" t="s">
        <v>176</v>
      </c>
      <c r="O108" s="9" t="str">
        <f t="shared" si="21"/>
        <v>1001</v>
      </c>
      <c r="P108" s="9" t="str">
        <f t="shared" si="22"/>
        <v>0000</v>
      </c>
      <c r="Q108" s="9" t="str">
        <f t="shared" si="23"/>
        <v>0001</v>
      </c>
      <c r="R108" s="9" t="str">
        <f t="shared" si="24"/>
        <v>0110</v>
      </c>
      <c r="S108" s="9" t="str">
        <f t="shared" si="25"/>
        <v>00</v>
      </c>
      <c r="T108" s="9" t="str">
        <f t="shared" si="26"/>
        <v>0001</v>
      </c>
      <c r="U108" s="9" t="str">
        <f t="shared" si="27"/>
        <v>001</v>
      </c>
      <c r="V108" s="9" t="str">
        <f t="shared" si="28"/>
        <v>111</v>
      </c>
      <c r="W108" s="9" t="str">
        <f t="shared" si="29"/>
        <v>0</v>
      </c>
      <c r="X108" s="9" t="str">
        <f t="shared" si="30"/>
        <v>0000000</v>
      </c>
      <c r="Y108" s="4" t="str">
        <f t="shared" si="32"/>
        <v>100100000001011000000100111100000000</v>
      </c>
    </row>
    <row r="109" spans="1:25" s="9" customFormat="1" x14ac:dyDescent="0.3">
      <c r="A109" s="4" t="s">
        <v>84</v>
      </c>
      <c r="B109" s="4">
        <v>106</v>
      </c>
      <c r="C109" s="26" t="str">
        <f t="shared" si="20"/>
        <v>0x6A</v>
      </c>
      <c r="D109" s="21" t="str">
        <f t="shared" si="31"/>
        <v>0x301808000</v>
      </c>
      <c r="E109" s="16" t="s">
        <v>124</v>
      </c>
      <c r="F109" s="16" t="s">
        <v>103</v>
      </c>
      <c r="G109" s="16" t="s">
        <v>110</v>
      </c>
      <c r="H109" s="16" t="s">
        <v>152</v>
      </c>
      <c r="I109" s="17" t="s">
        <v>104</v>
      </c>
      <c r="J109" s="16" t="s">
        <v>122</v>
      </c>
      <c r="K109" s="16" t="s">
        <v>105</v>
      </c>
      <c r="L109" s="17" t="s">
        <v>106</v>
      </c>
      <c r="M109" s="4" t="s">
        <v>107</v>
      </c>
      <c r="N109" s="16" t="s">
        <v>175</v>
      </c>
      <c r="O109" s="9" t="str">
        <f t="shared" si="21"/>
        <v>0011</v>
      </c>
      <c r="P109" s="9" t="str">
        <f t="shared" si="22"/>
        <v>0000</v>
      </c>
      <c r="Q109" s="9" t="str">
        <f t="shared" si="23"/>
        <v>0001</v>
      </c>
      <c r="R109" s="9" t="str">
        <f t="shared" si="24"/>
        <v>1000</v>
      </c>
      <c r="S109" s="9" t="str">
        <f t="shared" si="25"/>
        <v>00</v>
      </c>
      <c r="T109" s="9" t="str">
        <f t="shared" si="26"/>
        <v>0010</v>
      </c>
      <c r="U109" s="9" t="str">
        <f t="shared" si="27"/>
        <v>000</v>
      </c>
      <c r="V109" s="9" t="str">
        <f t="shared" si="28"/>
        <v>000</v>
      </c>
      <c r="W109" s="9" t="str">
        <f t="shared" si="29"/>
        <v>0</v>
      </c>
      <c r="X109" s="9" t="str">
        <f t="shared" si="30"/>
        <v>0000000</v>
      </c>
      <c r="Y109" s="4" t="str">
        <f t="shared" si="32"/>
        <v>001100000001100000001000000000000000</v>
      </c>
    </row>
    <row r="110" spans="1:25" s="9" customFormat="1" x14ac:dyDescent="0.3">
      <c r="A110" s="4" t="s">
        <v>253</v>
      </c>
      <c r="B110" s="4">
        <v>107</v>
      </c>
      <c r="C110" s="26" t="str">
        <f t="shared" si="20"/>
        <v>0x6B</v>
      </c>
      <c r="D110" s="21" t="str">
        <f t="shared" si="31"/>
        <v>0x1019C0F00</v>
      </c>
      <c r="E110" s="16" t="s">
        <v>108</v>
      </c>
      <c r="F110" s="16" t="s">
        <v>103</v>
      </c>
      <c r="G110" s="16" t="s">
        <v>110</v>
      </c>
      <c r="H110" s="16" t="s">
        <v>154</v>
      </c>
      <c r="I110" s="17" t="s">
        <v>127</v>
      </c>
      <c r="J110" s="16" t="s">
        <v>103</v>
      </c>
      <c r="K110" s="16" t="s">
        <v>114</v>
      </c>
      <c r="L110" s="17" t="s">
        <v>149</v>
      </c>
      <c r="M110" s="4" t="s">
        <v>107</v>
      </c>
      <c r="N110" s="16" t="s">
        <v>176</v>
      </c>
      <c r="O110" s="9" t="str">
        <f t="shared" si="21"/>
        <v>0001</v>
      </c>
      <c r="P110" s="9" t="str">
        <f t="shared" si="22"/>
        <v>0000</v>
      </c>
      <c r="Q110" s="9" t="str">
        <f t="shared" si="23"/>
        <v>0001</v>
      </c>
      <c r="R110" s="9" t="str">
        <f t="shared" si="24"/>
        <v>1001</v>
      </c>
      <c r="S110" s="9" t="str">
        <f t="shared" si="25"/>
        <v>11</v>
      </c>
      <c r="T110" s="9" t="str">
        <f t="shared" si="26"/>
        <v>0000</v>
      </c>
      <c r="U110" s="9" t="str">
        <f t="shared" si="27"/>
        <v>001</v>
      </c>
      <c r="V110" s="9" t="str">
        <f t="shared" si="28"/>
        <v>111</v>
      </c>
      <c r="W110" s="9" t="str">
        <f t="shared" si="29"/>
        <v>0</v>
      </c>
      <c r="X110" s="9" t="str">
        <f t="shared" si="30"/>
        <v>0000000</v>
      </c>
      <c r="Y110" s="4" t="str">
        <f t="shared" si="32"/>
        <v>000100000001100111000000111100000000</v>
      </c>
    </row>
    <row r="111" spans="1:25" s="9" customFormat="1" x14ac:dyDescent="0.3">
      <c r="A111" s="4" t="s">
        <v>85</v>
      </c>
      <c r="B111" s="4">
        <v>108</v>
      </c>
      <c r="C111" s="26" t="str">
        <f t="shared" si="20"/>
        <v>0x6C</v>
      </c>
      <c r="D111" s="21" t="str">
        <f t="shared" si="31"/>
        <v>0x301880000</v>
      </c>
      <c r="E111" s="16" t="s">
        <v>124</v>
      </c>
      <c r="F111" s="16" t="s">
        <v>103</v>
      </c>
      <c r="G111" s="16" t="s">
        <v>110</v>
      </c>
      <c r="H111" s="16" t="s">
        <v>152</v>
      </c>
      <c r="I111" s="17" t="s">
        <v>121</v>
      </c>
      <c r="J111" s="16" t="s">
        <v>103</v>
      </c>
      <c r="K111" s="16" t="s">
        <v>105</v>
      </c>
      <c r="L111" s="17" t="s">
        <v>106</v>
      </c>
      <c r="M111" s="4" t="s">
        <v>107</v>
      </c>
      <c r="N111" s="16" t="s">
        <v>175</v>
      </c>
      <c r="O111" s="9" t="str">
        <f t="shared" si="21"/>
        <v>0011</v>
      </c>
      <c r="P111" s="9" t="str">
        <f t="shared" si="22"/>
        <v>0000</v>
      </c>
      <c r="Q111" s="9" t="str">
        <f t="shared" si="23"/>
        <v>0001</v>
      </c>
      <c r="R111" s="9" t="str">
        <f t="shared" si="24"/>
        <v>1000</v>
      </c>
      <c r="S111" s="9" t="str">
        <f t="shared" si="25"/>
        <v>10</v>
      </c>
      <c r="T111" s="9" t="str">
        <f t="shared" si="26"/>
        <v>0000</v>
      </c>
      <c r="U111" s="9" t="str">
        <f t="shared" si="27"/>
        <v>000</v>
      </c>
      <c r="V111" s="9" t="str">
        <f t="shared" si="28"/>
        <v>000</v>
      </c>
      <c r="W111" s="9" t="str">
        <f t="shared" si="29"/>
        <v>0</v>
      </c>
      <c r="X111" s="9" t="str">
        <f t="shared" si="30"/>
        <v>0000000</v>
      </c>
      <c r="Y111" s="4" t="str">
        <f t="shared" si="32"/>
        <v>001100000001100010000000000000000000</v>
      </c>
    </row>
    <row r="112" spans="1:25" s="9" customFormat="1" x14ac:dyDescent="0.3">
      <c r="A112" s="4" t="s">
        <v>254</v>
      </c>
      <c r="B112" s="4">
        <v>109</v>
      </c>
      <c r="C112" s="26" t="str">
        <f t="shared" si="20"/>
        <v>0x6D</v>
      </c>
      <c r="D112" s="21" t="str">
        <f t="shared" si="31"/>
        <v>0x901104F00</v>
      </c>
      <c r="E112" s="16" t="s">
        <v>153</v>
      </c>
      <c r="F112" s="16" t="s">
        <v>103</v>
      </c>
      <c r="G112" s="16" t="s">
        <v>110</v>
      </c>
      <c r="H112" s="16" t="s">
        <v>111</v>
      </c>
      <c r="I112" s="17" t="s">
        <v>104</v>
      </c>
      <c r="J112" s="16" t="s">
        <v>113</v>
      </c>
      <c r="K112" s="16" t="s">
        <v>114</v>
      </c>
      <c r="L112" s="17" t="s">
        <v>149</v>
      </c>
      <c r="M112" s="4" t="s">
        <v>107</v>
      </c>
      <c r="N112" s="16" t="s">
        <v>176</v>
      </c>
      <c r="O112" s="9" t="str">
        <f t="shared" si="21"/>
        <v>1001</v>
      </c>
      <c r="P112" s="9" t="str">
        <f t="shared" si="22"/>
        <v>0000</v>
      </c>
      <c r="Q112" s="9" t="str">
        <f t="shared" si="23"/>
        <v>0001</v>
      </c>
      <c r="R112" s="9" t="str">
        <f t="shared" si="24"/>
        <v>0001</v>
      </c>
      <c r="S112" s="9" t="str">
        <f t="shared" si="25"/>
        <v>00</v>
      </c>
      <c r="T112" s="9" t="str">
        <f t="shared" si="26"/>
        <v>0001</v>
      </c>
      <c r="U112" s="9" t="str">
        <f t="shared" si="27"/>
        <v>001</v>
      </c>
      <c r="V112" s="9" t="str">
        <f t="shared" si="28"/>
        <v>111</v>
      </c>
      <c r="W112" s="9" t="str">
        <f t="shared" si="29"/>
        <v>0</v>
      </c>
      <c r="X112" s="9" t="str">
        <f t="shared" si="30"/>
        <v>0000000</v>
      </c>
      <c r="Y112" s="4" t="str">
        <f t="shared" si="32"/>
        <v>100100000001000100000100111100000000</v>
      </c>
    </row>
    <row r="113" spans="1:25" s="9" customFormat="1" x14ac:dyDescent="0.3">
      <c r="A113" s="4" t="s">
        <v>86</v>
      </c>
      <c r="B113" s="4">
        <v>110</v>
      </c>
      <c r="C113" s="26" t="str">
        <f t="shared" si="20"/>
        <v>0x6E</v>
      </c>
      <c r="D113" s="21" t="str">
        <f t="shared" si="31"/>
        <v>0x301880000</v>
      </c>
      <c r="E113" s="16" t="s">
        <v>124</v>
      </c>
      <c r="F113" s="16" t="s">
        <v>103</v>
      </c>
      <c r="G113" s="16" t="s">
        <v>110</v>
      </c>
      <c r="H113" s="16" t="s">
        <v>152</v>
      </c>
      <c r="I113" s="17" t="s">
        <v>121</v>
      </c>
      <c r="J113" s="16" t="s">
        <v>103</v>
      </c>
      <c r="K113" s="16" t="s">
        <v>105</v>
      </c>
      <c r="L113" s="17" t="s">
        <v>106</v>
      </c>
      <c r="M113" s="4" t="s">
        <v>107</v>
      </c>
      <c r="N113" s="16" t="s">
        <v>175</v>
      </c>
      <c r="O113" s="9" t="str">
        <f t="shared" si="21"/>
        <v>0011</v>
      </c>
      <c r="P113" s="9" t="str">
        <f t="shared" si="22"/>
        <v>0000</v>
      </c>
      <c r="Q113" s="9" t="str">
        <f t="shared" si="23"/>
        <v>0001</v>
      </c>
      <c r="R113" s="9" t="str">
        <f t="shared" si="24"/>
        <v>1000</v>
      </c>
      <c r="S113" s="9" t="str">
        <f t="shared" si="25"/>
        <v>10</v>
      </c>
      <c r="T113" s="9" t="str">
        <f t="shared" si="26"/>
        <v>0000</v>
      </c>
      <c r="U113" s="9" t="str">
        <f t="shared" si="27"/>
        <v>000</v>
      </c>
      <c r="V113" s="9" t="str">
        <f t="shared" si="28"/>
        <v>000</v>
      </c>
      <c r="W113" s="9" t="str">
        <f t="shared" si="29"/>
        <v>0</v>
      </c>
      <c r="X113" s="9" t="str">
        <f t="shared" si="30"/>
        <v>0000000</v>
      </c>
      <c r="Y113" s="4" t="str">
        <f t="shared" si="32"/>
        <v>001100000001100010000000000000000000</v>
      </c>
    </row>
    <row r="114" spans="1:25" s="9" customFormat="1" x14ac:dyDescent="0.3">
      <c r="A114" s="4" t="s">
        <v>250</v>
      </c>
      <c r="B114" s="4">
        <v>111</v>
      </c>
      <c r="C114" s="26" t="str">
        <f t="shared" si="20"/>
        <v>0x6F</v>
      </c>
      <c r="D114" s="21" t="str">
        <f t="shared" si="31"/>
        <v>0x901604F00</v>
      </c>
      <c r="E114" s="16" t="s">
        <v>153</v>
      </c>
      <c r="F114" s="16" t="s">
        <v>103</v>
      </c>
      <c r="G114" s="16" t="s">
        <v>110</v>
      </c>
      <c r="H114" s="16" t="s">
        <v>144</v>
      </c>
      <c r="I114" s="17" t="s">
        <v>104</v>
      </c>
      <c r="J114" s="16" t="s">
        <v>113</v>
      </c>
      <c r="K114" s="16" t="s">
        <v>114</v>
      </c>
      <c r="L114" s="17" t="s">
        <v>149</v>
      </c>
      <c r="M114" s="4" t="s">
        <v>107</v>
      </c>
      <c r="N114" s="16" t="s">
        <v>176</v>
      </c>
      <c r="O114" s="9" t="str">
        <f t="shared" si="21"/>
        <v>1001</v>
      </c>
      <c r="P114" s="9" t="str">
        <f t="shared" si="22"/>
        <v>0000</v>
      </c>
      <c r="Q114" s="9" t="str">
        <f t="shared" si="23"/>
        <v>0001</v>
      </c>
      <c r="R114" s="9" t="str">
        <f t="shared" si="24"/>
        <v>0110</v>
      </c>
      <c r="S114" s="9" t="str">
        <f t="shared" si="25"/>
        <v>00</v>
      </c>
      <c r="T114" s="9" t="str">
        <f t="shared" si="26"/>
        <v>0001</v>
      </c>
      <c r="U114" s="9" t="str">
        <f t="shared" si="27"/>
        <v>001</v>
      </c>
      <c r="V114" s="9" t="str">
        <f t="shared" si="28"/>
        <v>111</v>
      </c>
      <c r="W114" s="9" t="str">
        <f t="shared" si="29"/>
        <v>0</v>
      </c>
      <c r="X114" s="9" t="str">
        <f t="shared" si="30"/>
        <v>0000000</v>
      </c>
      <c r="Y114" s="4" t="str">
        <f t="shared" si="32"/>
        <v>100100000001011000000100111100000000</v>
      </c>
    </row>
    <row r="115" spans="1:25" s="9" customFormat="1" x14ac:dyDescent="0.3">
      <c r="A115" s="4" t="s">
        <v>87</v>
      </c>
      <c r="B115" s="4">
        <v>112</v>
      </c>
      <c r="C115" s="26" t="str">
        <f t="shared" si="20"/>
        <v>0x70</v>
      </c>
      <c r="D115" s="21" t="str">
        <f t="shared" si="31"/>
        <v>0x301880000</v>
      </c>
      <c r="E115" s="16" t="s">
        <v>124</v>
      </c>
      <c r="F115" s="16" t="s">
        <v>103</v>
      </c>
      <c r="G115" s="16" t="s">
        <v>110</v>
      </c>
      <c r="H115" s="16" t="s">
        <v>152</v>
      </c>
      <c r="I115" s="17" t="s">
        <v>121</v>
      </c>
      <c r="J115" s="16" t="s">
        <v>103</v>
      </c>
      <c r="K115" s="16" t="s">
        <v>105</v>
      </c>
      <c r="L115" s="17" t="s">
        <v>106</v>
      </c>
      <c r="M115" s="4" t="s">
        <v>107</v>
      </c>
      <c r="N115" s="16" t="s">
        <v>175</v>
      </c>
      <c r="O115" s="9" t="str">
        <f t="shared" si="21"/>
        <v>0011</v>
      </c>
      <c r="P115" s="9" t="str">
        <f t="shared" si="22"/>
        <v>0000</v>
      </c>
      <c r="Q115" s="9" t="str">
        <f t="shared" si="23"/>
        <v>0001</v>
      </c>
      <c r="R115" s="9" t="str">
        <f t="shared" si="24"/>
        <v>1000</v>
      </c>
      <c r="S115" s="9" t="str">
        <f t="shared" si="25"/>
        <v>10</v>
      </c>
      <c r="T115" s="9" t="str">
        <f t="shared" si="26"/>
        <v>0000</v>
      </c>
      <c r="U115" s="9" t="str">
        <f t="shared" si="27"/>
        <v>000</v>
      </c>
      <c r="V115" s="9" t="str">
        <f t="shared" si="28"/>
        <v>000</v>
      </c>
      <c r="W115" s="9" t="str">
        <f t="shared" si="29"/>
        <v>0</v>
      </c>
      <c r="X115" s="9" t="str">
        <f t="shared" si="30"/>
        <v>0000000</v>
      </c>
      <c r="Y115" s="4" t="str">
        <f t="shared" si="32"/>
        <v>001100000001100010000000000000000000</v>
      </c>
    </row>
    <row r="116" spans="1:25" s="9" customFormat="1" x14ac:dyDescent="0.3">
      <c r="A116" s="4" t="s">
        <v>251</v>
      </c>
      <c r="B116" s="4">
        <v>113</v>
      </c>
      <c r="C116" s="26" t="str">
        <f t="shared" si="20"/>
        <v>0x71</v>
      </c>
      <c r="D116" s="21" t="str">
        <f t="shared" si="31"/>
        <v>0x901604000</v>
      </c>
      <c r="E116" s="16" t="s">
        <v>153</v>
      </c>
      <c r="F116" s="16" t="s">
        <v>103</v>
      </c>
      <c r="G116" s="16" t="s">
        <v>110</v>
      </c>
      <c r="H116" s="16" t="s">
        <v>144</v>
      </c>
      <c r="I116" s="17" t="s">
        <v>104</v>
      </c>
      <c r="J116" s="16" t="s">
        <v>113</v>
      </c>
      <c r="K116" s="16" t="s">
        <v>105</v>
      </c>
      <c r="L116" s="17" t="s">
        <v>106</v>
      </c>
      <c r="M116" s="4" t="s">
        <v>107</v>
      </c>
      <c r="N116" s="16" t="s">
        <v>175</v>
      </c>
      <c r="O116" s="9" t="str">
        <f t="shared" si="21"/>
        <v>1001</v>
      </c>
      <c r="P116" s="9" t="str">
        <f t="shared" si="22"/>
        <v>0000</v>
      </c>
      <c r="Q116" s="9" t="str">
        <f t="shared" si="23"/>
        <v>0001</v>
      </c>
      <c r="R116" s="9" t="str">
        <f t="shared" si="24"/>
        <v>0110</v>
      </c>
      <c r="S116" s="9" t="str">
        <f t="shared" si="25"/>
        <v>00</v>
      </c>
      <c r="T116" s="9" t="str">
        <f t="shared" si="26"/>
        <v>0001</v>
      </c>
      <c r="U116" s="9" t="str">
        <f t="shared" si="27"/>
        <v>000</v>
      </c>
      <c r="V116" s="9" t="str">
        <f t="shared" si="28"/>
        <v>000</v>
      </c>
      <c r="W116" s="9" t="str">
        <f t="shared" si="29"/>
        <v>0</v>
      </c>
      <c r="X116" s="9" t="str">
        <f t="shared" si="30"/>
        <v>0000000</v>
      </c>
      <c r="Y116" s="4" t="str">
        <f t="shared" si="32"/>
        <v>100100000001011000000100000000000000</v>
      </c>
    </row>
    <row r="117" spans="1:25" s="9" customFormat="1" x14ac:dyDescent="0.3">
      <c r="A117" s="4" t="s">
        <v>251</v>
      </c>
      <c r="B117" s="4">
        <v>114</v>
      </c>
      <c r="C117" s="26" t="str">
        <f t="shared" si="20"/>
        <v>0x72</v>
      </c>
      <c r="D117" s="21" t="str">
        <f t="shared" si="31"/>
        <v>0x301880000</v>
      </c>
      <c r="E117" s="16" t="s">
        <v>124</v>
      </c>
      <c r="F117" s="16" t="s">
        <v>103</v>
      </c>
      <c r="G117" s="16" t="s">
        <v>110</v>
      </c>
      <c r="H117" s="16" t="s">
        <v>152</v>
      </c>
      <c r="I117" s="17" t="s">
        <v>121</v>
      </c>
      <c r="J117" s="16" t="s">
        <v>103</v>
      </c>
      <c r="K117" s="16" t="s">
        <v>105</v>
      </c>
      <c r="L117" s="17" t="s">
        <v>106</v>
      </c>
      <c r="M117" s="4" t="s">
        <v>107</v>
      </c>
      <c r="N117" s="16" t="s">
        <v>175</v>
      </c>
      <c r="O117" s="9" t="str">
        <f t="shared" si="21"/>
        <v>0011</v>
      </c>
      <c r="P117" s="9" t="str">
        <f t="shared" si="22"/>
        <v>0000</v>
      </c>
      <c r="Q117" s="9" t="str">
        <f t="shared" si="23"/>
        <v>0001</v>
      </c>
      <c r="R117" s="9" t="str">
        <f t="shared" si="24"/>
        <v>1000</v>
      </c>
      <c r="S117" s="9" t="str">
        <f t="shared" si="25"/>
        <v>10</v>
      </c>
      <c r="T117" s="9" t="str">
        <f t="shared" si="26"/>
        <v>0000</v>
      </c>
      <c r="U117" s="9" t="str">
        <f t="shared" si="27"/>
        <v>000</v>
      </c>
      <c r="V117" s="9" t="str">
        <f t="shared" si="28"/>
        <v>000</v>
      </c>
      <c r="W117" s="9" t="str">
        <f t="shared" si="29"/>
        <v>0</v>
      </c>
      <c r="X117" s="9" t="str">
        <f t="shared" si="30"/>
        <v>0000000</v>
      </c>
      <c r="Y117" s="4" t="str">
        <f t="shared" si="32"/>
        <v>001100000001100010000000000000000000</v>
      </c>
    </row>
    <row r="118" spans="1:25" s="9" customFormat="1" x14ac:dyDescent="0.3">
      <c r="A118" s="4" t="s">
        <v>251</v>
      </c>
      <c r="B118" s="4">
        <v>115</v>
      </c>
      <c r="C118" s="26" t="str">
        <f t="shared" si="20"/>
        <v>0x73</v>
      </c>
      <c r="D118" s="21" t="str">
        <f t="shared" si="31"/>
        <v>0x901104F00</v>
      </c>
      <c r="E118" s="16" t="s">
        <v>153</v>
      </c>
      <c r="F118" s="16" t="s">
        <v>103</v>
      </c>
      <c r="G118" s="16" t="s">
        <v>110</v>
      </c>
      <c r="H118" s="16" t="s">
        <v>111</v>
      </c>
      <c r="I118" s="17" t="s">
        <v>104</v>
      </c>
      <c r="J118" s="16" t="s">
        <v>113</v>
      </c>
      <c r="K118" s="16" t="s">
        <v>114</v>
      </c>
      <c r="L118" s="17" t="s">
        <v>149</v>
      </c>
      <c r="M118" s="4" t="s">
        <v>107</v>
      </c>
      <c r="N118" s="16" t="s">
        <v>176</v>
      </c>
      <c r="O118" s="9" t="str">
        <f t="shared" si="21"/>
        <v>1001</v>
      </c>
      <c r="P118" s="9" t="str">
        <f t="shared" si="22"/>
        <v>0000</v>
      </c>
      <c r="Q118" s="9" t="str">
        <f t="shared" si="23"/>
        <v>0001</v>
      </c>
      <c r="R118" s="9" t="str">
        <f t="shared" si="24"/>
        <v>0001</v>
      </c>
      <c r="S118" s="9" t="str">
        <f t="shared" si="25"/>
        <v>00</v>
      </c>
      <c r="T118" s="9" t="str">
        <f t="shared" si="26"/>
        <v>0001</v>
      </c>
      <c r="U118" s="9" t="str">
        <f t="shared" si="27"/>
        <v>001</v>
      </c>
      <c r="V118" s="9" t="str">
        <f t="shared" si="28"/>
        <v>111</v>
      </c>
      <c r="W118" s="9" t="str">
        <f t="shared" si="29"/>
        <v>0</v>
      </c>
      <c r="X118" s="9" t="str">
        <f t="shared" si="30"/>
        <v>0000000</v>
      </c>
      <c r="Y118" s="4" t="str">
        <f t="shared" si="32"/>
        <v>100100000001000100000100111100000000</v>
      </c>
    </row>
  </sheetData>
  <autoFilter ref="A1:Y118" xr:uid="{4D9A59C3-EA07-4BFC-A86B-03CEB3074DC8}"/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3F85CE6-9521-41FD-8FBD-2093A3FD97E2}">
          <x14:formula1>
            <xm:f>MicroInstructiune!$C$3:$C$15</xm:f>
          </x14:formula1>
          <xm:sqref>E3:E118</xm:sqref>
        </x14:dataValidation>
        <x14:dataValidation type="list" allowBlank="1" showInputMessage="1" showErrorMessage="1" xr:uid="{D6B66515-E04B-45A9-92BC-13B6BFA702FE}">
          <x14:formula1>
            <xm:f>MicroInstructiune!$D$3:$D$15</xm:f>
          </x14:formula1>
          <xm:sqref>F3:F118</xm:sqref>
        </x14:dataValidation>
        <x14:dataValidation type="list" allowBlank="1" showInputMessage="1" showErrorMessage="1" xr:uid="{10CA1F3C-DC29-4EF1-8524-CE69E49D830E}">
          <x14:formula1>
            <xm:f>MicroInstructiune!$E$3:$E$17</xm:f>
          </x14:formula1>
          <xm:sqref>G3:G118</xm:sqref>
        </x14:dataValidation>
        <x14:dataValidation type="list" allowBlank="1" showInputMessage="1" showErrorMessage="1" xr:uid="{A5BDD24E-3185-4867-BCF2-B51DCD59BE63}">
          <x14:formula1>
            <xm:f>MicroInstructiune!$F$3:$F$12</xm:f>
          </x14:formula1>
          <xm:sqref>H3:H118</xm:sqref>
        </x14:dataValidation>
        <x14:dataValidation type="list" allowBlank="1" showInputMessage="1" showErrorMessage="1" xr:uid="{0B8FFB14-47C7-46AF-A92E-420E339B95E0}">
          <x14:formula1>
            <xm:f>MicroInstructiune!$G$3:$G$6</xm:f>
          </x14:formula1>
          <xm:sqref>I3:I118</xm:sqref>
        </x14:dataValidation>
        <x14:dataValidation type="list" allowBlank="1" showInputMessage="1" showErrorMessage="1" xr:uid="{D5107FD3-1252-4D24-B39A-E63C857274E7}">
          <x14:formula1>
            <xm:f>MicroInstructiune!$H$3:$H$16</xm:f>
          </x14:formula1>
          <xm:sqref>J3:J118</xm:sqref>
        </x14:dataValidation>
        <x14:dataValidation type="list" allowBlank="1" showInputMessage="1" showErrorMessage="1" xr:uid="{782C0C94-80CD-4EC9-AC47-38C8AC1AE50A}">
          <x14:formula1>
            <xm:f>MicroInstructiune!$I$3:$I$10</xm:f>
          </x14:formula1>
          <xm:sqref>K3:K118</xm:sqref>
        </x14:dataValidation>
        <x14:dataValidation type="list" allowBlank="1" showInputMessage="1" showErrorMessage="1" xr:uid="{B2362F13-9A24-4005-BF86-02606B1E9A13}">
          <x14:formula1>
            <xm:f>MicroInstructiune!$J$3:$J$10</xm:f>
          </x14:formula1>
          <xm:sqref>L3:L118</xm:sqref>
        </x14:dataValidation>
        <x14:dataValidation type="list" allowBlank="1" showInputMessage="1" showErrorMessage="1" xr:uid="{C4FDA2E6-D156-4DD9-8DD5-7D1BCD74D01E}">
          <x14:formula1>
            <xm:f>MicroInstructiune!$K$3:$K$4</xm:f>
          </x14:formula1>
          <xm:sqref>M3:M118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6006a9c5-d130-408c-bc8e-3b5ecdb17aa0}" enabled="1" method="Standard" siteId="{8d4b558f-7b2e-40ba-ad1f-e04d79e6265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MicroInstructiune</vt:lpstr>
      <vt:lpstr>Microprogram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Caprita, Horia</dc:creator>
  <cp:lastModifiedBy>Caprita, Horia</cp:lastModifiedBy>
  <dcterms:created xsi:type="dcterms:W3CDTF">2025-04-28T10:22:47Z</dcterms:created>
  <dcterms:modified xsi:type="dcterms:W3CDTF">2025-07-12T10:25:00Z</dcterms:modified>
</cp:coreProperties>
</file>